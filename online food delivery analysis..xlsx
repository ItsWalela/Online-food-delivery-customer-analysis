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OneDrive\Desktop\Projects\Complete\"/>
    </mc:Choice>
  </mc:AlternateContent>
  <bookViews>
    <workbookView xWindow="0" yWindow="0" windowWidth="11460" windowHeight="7500" tabRatio="866" firstSheet="6" activeTab="9"/>
  </bookViews>
  <sheets>
    <sheet name="Segment mix by Occupation" sheetId="3" r:id="rId1"/>
    <sheet name="Output by Income bracket" sheetId="4" r:id="rId2"/>
    <sheet name="Output by Age Group" sheetId="5" r:id="rId3"/>
    <sheet name="Feedback by Gender" sheetId="6" r:id="rId4"/>
    <sheet name="Feedback by Customer Type" sheetId="7" r:id="rId5"/>
    <sheet name="Feedback by Education" sheetId="8" r:id="rId6"/>
    <sheet name="Avg Family Size by Occupation" sheetId="9" r:id="rId7"/>
    <sheet name="Overall Output split" sheetId="10" r:id="rId8"/>
    <sheet name="online food delivery dataset" sheetId="1" r:id="rId9"/>
    <sheet name="Report" sheetId="2" r:id="rId10"/>
  </sheets>
  <definedNames>
    <definedName name="_xlnm._FilterDatabase" localSheetId="8" hidden="1">'online food delivery dataset'!$A$1:$O$389</definedName>
    <definedName name="Slicer_Age_group">#N/A</definedName>
    <definedName name="Slicer_Customer_Type">#N/A</definedName>
    <definedName name="Slicer_Educational_Qualifications">#N/A</definedName>
    <definedName name="Slicer_Gender">#N/A</definedName>
    <definedName name="Slicer_Marital_Status">#N/A</definedName>
    <definedName name="Slicer_Monthly_Income">#N/A</definedName>
    <definedName name="Slicer_Occupation">#N/A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15" i="1" l="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13" i="1"/>
  <c r="O314"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2" i="1"/>
  <c r="B389" i="1" l="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<sst xmlns="http://schemas.openxmlformats.org/spreadsheetml/2006/main" count="3183" uniqueCount="56">
  <si>
    <t>Age</t>
  </si>
  <si>
    <t>Gender</t>
  </si>
  <si>
    <t>Marital Status</t>
  </si>
  <si>
    <t>Occupation</t>
  </si>
  <si>
    <t>Monthly Income</t>
  </si>
  <si>
    <t>Educational Qualifications</t>
  </si>
  <si>
    <t>Family size</t>
  </si>
  <si>
    <t>Customer Type</t>
  </si>
  <si>
    <t>latitude</t>
  </si>
  <si>
    <t>longitude</t>
  </si>
  <si>
    <t>Pin code</t>
  </si>
  <si>
    <t>Output</t>
  </si>
  <si>
    <t>Feedback</t>
  </si>
  <si>
    <t>Female</t>
  </si>
  <si>
    <t>Single</t>
  </si>
  <si>
    <t>Student</t>
  </si>
  <si>
    <t>No Income</t>
  </si>
  <si>
    <t>Post Graduate</t>
  </si>
  <si>
    <t>Frequent</t>
  </si>
  <si>
    <t>Yes</t>
  </si>
  <si>
    <t>Positive</t>
  </si>
  <si>
    <t>Below Rs.10000</t>
  </si>
  <si>
    <t>Graduate</t>
  </si>
  <si>
    <t>Regular</t>
  </si>
  <si>
    <t>Male</t>
  </si>
  <si>
    <t xml:space="preserve">Negative </t>
  </si>
  <si>
    <t>Married</t>
  </si>
  <si>
    <t>Employee</t>
  </si>
  <si>
    <t>More than 50000</t>
  </si>
  <si>
    <t>Self Employeed</t>
  </si>
  <si>
    <t>10001 to 25000</t>
  </si>
  <si>
    <t>25001 to 50000</t>
  </si>
  <si>
    <t>New</t>
  </si>
  <si>
    <t>Ph.D</t>
  </si>
  <si>
    <t>No</t>
  </si>
  <si>
    <t>Prefer not to say</t>
  </si>
  <si>
    <t>House wife</t>
  </si>
  <si>
    <t>Uneducated</t>
  </si>
  <si>
    <t>School</t>
  </si>
  <si>
    <t>Age group</t>
  </si>
  <si>
    <t>Customer Segment</t>
  </si>
  <si>
    <t>Count of Customer Segment</t>
  </si>
  <si>
    <t>Column Labels</t>
  </si>
  <si>
    <t>Churned &amp; Unhappy</t>
  </si>
  <si>
    <t>Lost Potential</t>
  </si>
  <si>
    <t>Loyal Customer</t>
  </si>
  <si>
    <t>Count of Output</t>
  </si>
  <si>
    <t>18-24</t>
  </si>
  <si>
    <t>25-29</t>
  </si>
  <si>
    <t>30-33</t>
  </si>
  <si>
    <t>Age Group</t>
  </si>
  <si>
    <t>Count of Feedback</t>
  </si>
  <si>
    <t>Education</t>
  </si>
  <si>
    <t>Average of Family size</t>
  </si>
  <si>
    <t>Percentage</t>
  </si>
  <si>
    <t>Online Food Delivery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</si>
</sst>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orbel"/>
      <family val="2"/>
      <charset val="1"/>
      <scheme val="minor"/>
    </font>
    <font>
      <sz val="11"/>
      <color theme="1"/>
      <name val="Corbel"/>
      <family val="2"/>
      <charset val="1"/>
      <scheme val="minor"/>
    </font>
    <font>
      <sz val="18"/>
      <color theme="3"/>
      <name val="Corbel"/>
      <family val="2"/>
      <charset val="1"/>
      <scheme val="major"/>
    </font>
    <font>
      <b/>
      <sz val="15"/>
      <color theme="3"/>
      <name val="Corbel"/>
      <family val="2"/>
      <charset val="1"/>
      <scheme val="minor"/>
    </font>
    <font>
      <b/>
      <sz val="13"/>
      <color theme="3"/>
      <name val="Corbel"/>
      <family val="2"/>
      <charset val="1"/>
      <scheme val="minor"/>
    </font>
    <font>
      <b/>
      <sz val="11"/>
      <color theme="3"/>
      <name val="Corbel"/>
      <family val="2"/>
      <charset val="1"/>
      <scheme val="minor"/>
    </font>
    <font>
      <sz val="11"/>
      <color rgb="FF006100"/>
      <name val="Corbel"/>
      <family val="2"/>
      <charset val="1"/>
      <scheme val="minor"/>
    </font>
    <font>
      <sz val="11"/>
      <color rgb="FF9C0006"/>
      <name val="Corbel"/>
      <family val="2"/>
      <charset val="1"/>
      <scheme val="minor"/>
    </font>
    <font>
      <sz val="11"/>
      <color rgb="FF9C6500"/>
      <name val="Corbel"/>
      <family val="2"/>
      <charset val="1"/>
      <scheme val="minor"/>
    </font>
    <font>
      <sz val="11"/>
      <color rgb="FF3F3F76"/>
      <name val="Corbel"/>
      <family val="2"/>
      <charset val="1"/>
      <scheme val="minor"/>
    </font>
    <font>
      <b/>
      <sz val="11"/>
      <color rgb="FF3F3F3F"/>
      <name val="Corbel"/>
      <family val="2"/>
      <charset val="1"/>
      <scheme val="minor"/>
    </font>
    <font>
      <b/>
      <sz val="11"/>
      <color rgb="FFFA7D00"/>
      <name val="Corbel"/>
      <family val="2"/>
      <charset val="1"/>
      <scheme val="minor"/>
    </font>
    <font>
      <sz val="11"/>
      <color rgb="FFFA7D00"/>
      <name val="Corbel"/>
      <family val="2"/>
      <charset val="1"/>
      <scheme val="minor"/>
    </font>
    <font>
      <b/>
      <sz val="11"/>
      <color theme="0"/>
      <name val="Corbel"/>
      <family val="2"/>
      <charset val="1"/>
      <scheme val="minor"/>
    </font>
    <font>
      <sz val="11"/>
      <color rgb="FFFF0000"/>
      <name val="Corbel"/>
      <family val="2"/>
      <charset val="1"/>
      <scheme val="minor"/>
    </font>
    <font>
      <i/>
      <sz val="11"/>
      <color rgb="FF7F7F7F"/>
      <name val="Corbel"/>
      <family val="2"/>
      <charset val="1"/>
      <scheme val="minor"/>
    </font>
    <font>
      <b/>
      <sz val="11"/>
      <color theme="1"/>
      <name val="Corbel"/>
      <family val="2"/>
      <charset val="1"/>
      <scheme val="minor"/>
    </font>
    <font>
      <sz val="11"/>
      <color theme="0"/>
      <name val="Corbel"/>
      <family val="2"/>
      <charset val="1"/>
      <scheme val="minor"/>
    </font>
    <font>
      <b/>
      <sz val="12"/>
      <color theme="1"/>
      <name val="Corbel"/>
      <family val="2"/>
      <scheme val="minor"/>
    </font>
    <font>
      <b/>
      <sz val="11"/>
      <color theme="1"/>
      <name val="Corbe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8"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xf numFmtId="1" fontId="0" fillId="0" borderId="0" xfId="0" applyNumberFormat="1"/>
    <xf numFmtId="9" fontId="0" fillId="0" borderId="0" xfId="0" applyNumberFormat="1"/>
    <xf numFmtId="0" fontId="0" fillId="34" borderId="0" xfId="0" applyFill="1"/>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164" formatCode="0.0%"/>
    </dxf>
    <dxf>
      <numFmt numFmtId="13" formatCode="0%"/>
    </dxf>
    <dxf>
      <numFmt numFmtId="171" formatCode="0.0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4" formatCode="0.0%"/>
    </dxf>
    <dxf>
      <numFmt numFmtId="13" formatCode="0%"/>
    </dxf>
    <dxf>
      <numFmt numFmtId="171" formatCode="0.0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4" formatCode="0.0%"/>
    </dxf>
    <dxf>
      <numFmt numFmtId="13" formatCode="0%"/>
    </dxf>
    <dxf>
      <numFmt numFmtId="171" formatCode="0.0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4" formatCode="0.0%"/>
    </dxf>
    <dxf>
      <numFmt numFmtId="13" formatCode="0%"/>
    </dxf>
    <dxf>
      <numFmt numFmtId="171" formatCode="0.0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3" formatCode="0%"/>
    </dxf>
    <dxf>
      <numFmt numFmtId="164"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71" formatCode="0.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analysis..xlsx]Segment mix by Occupation!PivotTable1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Segment mix by Occupation</a:t>
            </a:r>
            <a:endParaRPr lang="en-US" b="1"/>
          </a:p>
        </c:rich>
      </c:tx>
      <c:layout>
        <c:manualLayout>
          <c:xMode val="edge"/>
          <c:yMode val="edge"/>
          <c:x val="3.6624690089775973E-2"/>
          <c:y val="3.2075648016487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'Segment mix by Occupation'!$B$3:$B$4</c:f>
              <c:strCache>
                <c:ptCount val="1"/>
                <c:pt idx="0">
                  <c:v>Churned &amp; Unhappy</c:v>
                </c:pt>
              </c:strCache>
            </c:strRef>
          </c:tx>
          <c:spPr>
            <a:solidFill>
              <a:schemeClr val="accent1"/>
            </a:solidFill>
            <a:ln>
              <a:noFill/>
            </a:ln>
            <a:effectLst/>
          </c:spPr>
          <c:invertIfNegative val="0"/>
          <c:dLbls>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'Segment mix by Occupation'!$A$5:$A$8</c:f>
              <c:strCache>
                <c:ptCount val="4"/>
                <c:pt idx="0">
                  <c:v>Employee</c:v>
                </c:pt>
                <c:pt idx="1">
                  <c:v>House wife</c:v>
                </c:pt>
                <c:pt idx="2">
                  <c:v>Self Employeed</c:v>
                </c:pt>
                <c:pt idx="3">
                  <c:v>Student</c:v>
                </c:pt>
              </c:strCache>
            </c:strRef>
          </c:cat>
          <c:val>
            <c:numRef>
              <c:f>'Segment mix by Occupation'!$B$5:$B$8</c:f>
              <c:numCache>
                <c:formatCode>General</c:formatCode>
                <c:ptCount val="4"/>
                <c:pt idx="0">
                  <c:v>33</c:v>
                </c:pt>
                <c:pt idx="1">
                  <c:v>1</c:v>
                </c:pt>
                <c:pt idx="2">
                  <c:v>16</c:v>
                </c:pt>
                <c:pt idx="3">
                  <c:v>21</c:v>
                </c:pt>
              </c:numCache>
            </c:numRef>
          </c:val>
          <c:extLst>
            <c:ext xmlns:c16="http://schemas.microsoft.com/office/drawing/2014/chart" uri="{C3380CC4-5D6E-409C-BE32-E72D297353CC}">
              <c16:uniqueId val="{00000000-D271-49EC-A642-8426E91EF41E}"/>
            </c:ext>
          </c:extLst>
        </c:ser>
        <c:ser>
          <c:idx val="1"/>
          <c:order val="1"/>
          <c:tx>
            <c:strRef>
              <c:f>'Segment mix by Occupation'!$C$3:$C$4</c:f>
              <c:strCache>
                <c:ptCount val="1"/>
                <c:pt idx="0">
                  <c:v>Lost Potential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mix by Occupation'!$A$5:$A$8</c:f>
              <c:strCache>
                <c:ptCount val="4"/>
                <c:pt idx="0">
                  <c:v>Employee</c:v>
                </c:pt>
                <c:pt idx="1">
                  <c:v>House wife</c:v>
                </c:pt>
                <c:pt idx="2">
                  <c:v>Self Employeed</c:v>
                </c:pt>
                <c:pt idx="3">
                  <c:v>Student</c:v>
                </c:pt>
              </c:strCache>
            </c:strRef>
          </c:cat>
          <c:val>
            <c:numRef>
              <c:f>'Segment mix by Occupation'!$C$5:$C$8</c:f>
              <c:numCache>
                <c:formatCode>General</c:formatCode>
                <c:ptCount val="4"/>
                <c:pt idx="0">
                  <c:v>13</c:v>
                </c:pt>
                <c:pt idx="1">
                  <c:v>2</c:v>
                </c:pt>
                <c:pt idx="2">
                  <c:v>7</c:v>
                </c:pt>
                <c:pt idx="3">
                  <c:v>12</c:v>
                </c:pt>
              </c:numCache>
            </c:numRef>
          </c:val>
          <c:extLst>
            <c:ext xmlns:c16="http://schemas.microsoft.com/office/drawing/2014/chart" uri="{C3380CC4-5D6E-409C-BE32-E72D297353CC}">
              <c16:uniqueId val="{00000001-D271-49EC-A642-8426E91EF41E}"/>
            </c:ext>
          </c:extLst>
        </c:ser>
        <c:ser>
          <c:idx val="2"/>
          <c:order val="2"/>
          <c:tx>
            <c:strRef>
              <c:f>'Segment mix by Occupation'!$D$3:$D$4</c:f>
              <c:strCache>
                <c:ptCount val="1"/>
                <c:pt idx="0">
                  <c:v>Loyal Customer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mix by Occupation'!$A$5:$A$8</c:f>
              <c:strCache>
                <c:ptCount val="4"/>
                <c:pt idx="0">
                  <c:v>Employee</c:v>
                </c:pt>
                <c:pt idx="1">
                  <c:v>House wife</c:v>
                </c:pt>
                <c:pt idx="2">
                  <c:v>Self Employeed</c:v>
                </c:pt>
                <c:pt idx="3">
                  <c:v>Student</c:v>
                </c:pt>
              </c:strCache>
            </c:strRef>
          </c:cat>
          <c:val>
            <c:numRef>
              <c:f>'Segment mix by Occupation'!$D$5:$D$8</c:f>
              <c:numCache>
                <c:formatCode>General</c:formatCode>
                <c:ptCount val="4"/>
                <c:pt idx="0">
                  <c:v>72</c:v>
                </c:pt>
                <c:pt idx="1">
                  <c:v>6</c:v>
                </c:pt>
                <c:pt idx="2">
                  <c:v>31</c:v>
                </c:pt>
                <c:pt idx="3">
                  <c:v>174</c:v>
                </c:pt>
              </c:numCache>
            </c:numRef>
          </c:val>
          <c:extLst>
            <c:ext xmlns:c16="http://schemas.microsoft.com/office/drawing/2014/chart" uri="{C3380CC4-5D6E-409C-BE32-E72D297353CC}">
              <c16:uniqueId val="{00000002-D271-49EC-A642-8426E91EF41E}"/>
            </c:ext>
          </c:extLst>
        </c:ser>
        <c:dLbls>
          <c:showLegendKey val="0"/>
          <c:showVal val="0"/>
          <c:showCatName val="0"/>
          <c:showSerName val="0"/>
          <c:showPercent val="0"/>
          <c:showBubbleSize val="0"/>
        </c:dLbls>
        <c:gapWidth val="219"/>
        <c:axId val="325750128"/>
        <c:axId val="325744880"/>
      </c:barChart>
      <c:catAx>
        <c:axId val="32575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5744880"/>
        <c:crosses val="autoZero"/>
        <c:auto val="1"/>
        <c:lblAlgn val="ctr"/>
        <c:lblOffset val="100"/>
        <c:noMultiLvlLbl val="0"/>
      </c:catAx>
      <c:valAx>
        <c:axId val="325744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5750128"/>
        <c:crosses val="autoZero"/>
        <c:crossBetween val="between"/>
      </c:valAx>
      <c:spPr>
        <a:noFill/>
        <a:ln>
          <a:noFill/>
        </a:ln>
        <a:effectLst/>
      </c:spPr>
    </c:plotArea>
    <c:legend>
      <c:legendPos val="r"/>
      <c:layout>
        <c:manualLayout>
          <c:xMode val="edge"/>
          <c:yMode val="edge"/>
          <c:x val="0.74200064039337776"/>
          <c:y val="2.680319082340606E-2"/>
          <c:w val="0.23346921217184227"/>
          <c:h val="0.2319772923173952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analysis..xlsx]Output by Income bracket!PivotTable1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Output by Income bracket</a:t>
            </a:r>
            <a:endParaRPr lang="en-US" b="1"/>
          </a:p>
        </c:rich>
      </c:tx>
      <c:layout>
        <c:manualLayout>
          <c:xMode val="edge"/>
          <c:yMode val="edge"/>
          <c:x val="9.576472959161641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'Output by Income bracket'!$B$3:$B$4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'Output by Income bracket'!$A$5:$A$9</c:f>
              <c:strCache>
                <c:ptCount val="5"/>
                <c:pt idx="0">
                  <c:v>10001 to 25000</c:v>
                </c:pt>
                <c:pt idx="1">
                  <c:v>25001 to 50000</c:v>
                </c:pt>
                <c:pt idx="2">
                  <c:v>Below Rs.10000</c:v>
                </c:pt>
                <c:pt idx="3">
                  <c:v>More than 50000</c:v>
                </c:pt>
                <c:pt idx="4">
                  <c:v>No Income</c:v>
                </c:pt>
              </c:strCache>
            </c:strRef>
          </c:cat>
          <c:val>
            <c:numRef>
              <c:f>'Output by Income bracket'!$B$5:$B$9</c:f>
              <c:numCache>
                <c:formatCode>General</c:formatCode>
                <c:ptCount val="5"/>
                <c:pt idx="0">
                  <c:v>13</c:v>
                </c:pt>
                <c:pt idx="1">
                  <c:v>27</c:v>
                </c:pt>
                <c:pt idx="2">
                  <c:v>6</c:v>
                </c:pt>
                <c:pt idx="3">
                  <c:v>18</c:v>
                </c:pt>
                <c:pt idx="4">
                  <c:v>23</c:v>
                </c:pt>
              </c:numCache>
            </c:numRef>
          </c:val>
          <c:extLst>
            <c:ext xmlns:c16="http://schemas.microsoft.com/office/drawing/2014/chart" uri="{C3380CC4-5D6E-409C-BE32-E72D297353CC}">
              <c16:uniqueId val="{00000000-3044-438A-8BD4-F3BC215FF1AF}"/>
            </c:ext>
          </c:extLst>
        </c:ser>
        <c:ser>
          <c:idx val="1"/>
          <c:order val="1"/>
          <c:tx>
            <c:strRef>
              <c:f>'Output by Income bracket'!$C$3:$C$4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'Output by Income bracket'!$A$5:$A$9</c:f>
              <c:strCache>
                <c:ptCount val="5"/>
                <c:pt idx="0">
                  <c:v>10001 to 25000</c:v>
                </c:pt>
                <c:pt idx="1">
                  <c:v>25001 to 50000</c:v>
                </c:pt>
                <c:pt idx="2">
                  <c:v>Below Rs.10000</c:v>
                </c:pt>
                <c:pt idx="3">
                  <c:v>More than 50000</c:v>
                </c:pt>
                <c:pt idx="4">
                  <c:v>No Income</c:v>
                </c:pt>
              </c:strCache>
            </c:strRef>
          </c:cat>
          <c:val>
            <c:numRef>
              <c:f>'Output by Income bracket'!$C$5:$C$9</c:f>
              <c:numCache>
                <c:formatCode>General</c:formatCode>
                <c:ptCount val="5"/>
                <c:pt idx="0">
                  <c:v>32</c:v>
                </c:pt>
                <c:pt idx="1">
                  <c:v>42</c:v>
                </c:pt>
                <c:pt idx="2">
                  <c:v>19</c:v>
                </c:pt>
                <c:pt idx="3">
                  <c:v>44</c:v>
                </c:pt>
                <c:pt idx="4">
                  <c:v>164</c:v>
                </c:pt>
              </c:numCache>
            </c:numRef>
          </c:val>
          <c:extLst>
            <c:ext xmlns:c16="http://schemas.microsoft.com/office/drawing/2014/chart" uri="{C3380CC4-5D6E-409C-BE32-E72D297353CC}">
              <c16:uniqueId val="{00000001-3044-438A-8BD4-F3BC215FF1AF}"/>
            </c:ext>
          </c:extLst>
        </c:ser>
        <c:dLbls>
          <c:showLegendKey val="0"/>
          <c:showVal val="1"/>
          <c:showCatName val="0"/>
          <c:showSerName val="0"/>
          <c:showPercent val="0"/>
          <c:showBubbleSize val="0"/>
        </c:dLbls>
        <c:gapWidth val="219"/>
        <c:overlap val="-27"/>
        <c:axId val="400707768"/>
        <c:axId val="400709080"/>
      </c:barChart>
      <c:catAx>
        <c:axId val="40070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709080"/>
        <c:crosses val="autoZero"/>
        <c:auto val="1"/>
        <c:lblAlgn val="ctr"/>
        <c:lblOffset val="100"/>
        <c:noMultiLvlLbl val="0"/>
      </c:catAx>
      <c:valAx>
        <c:axId val="400709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707768"/>
        <c:crosses val="autoZero"/>
        <c:crossBetween val="between"/>
      </c:valAx>
      <c:spPr>
        <a:noFill/>
        <a:ln>
          <a:noFill/>
        </a:ln>
        <a:effectLst/>
      </c:spPr>
    </c:plotArea>
    <c:legend>
      <c:legendPos val="r"/>
      <c:layout>
        <c:manualLayout>
          <c:xMode val="edge"/>
          <c:yMode val="edge"/>
          <c:x val="0.7358768179571703"/>
          <c:y val="2.8564085739282562E-2"/>
          <c:w val="0.24949795352363405"/>
          <c:h val="8.680664916885387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analysis..xlsx]Output by Age Group!PivotTable1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Output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7270341207349E-2"/>
          <c:y val="8.3333333333333329E-2"/>
          <c:w val="0.78899781277340331"/>
          <c:h val="0.80926727909011376"/>
        </c:manualLayout>
      </c:layout>
      <c:barChart>
        <c:barDir val="col"/>
        <c:grouping val="clustered"/>
        <c:varyColors val="0"/>
        <c:ser>
          <c:idx val="0"/>
          <c:order val="0"/>
          <c:tx>
            <c:strRef>
              <c:f>'Output by Age Group'!$B$3:$B$4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'Output by Age Group'!$A$5:$A$7</c:f>
              <c:strCache>
                <c:ptCount val="3"/>
                <c:pt idx="0">
                  <c:v>18-24</c:v>
                </c:pt>
                <c:pt idx="1">
                  <c:v>25-29</c:v>
                </c:pt>
                <c:pt idx="2">
                  <c:v>30-33</c:v>
                </c:pt>
              </c:strCache>
            </c:strRef>
          </c:cat>
          <c:val>
            <c:numRef>
              <c:f>'Output by Age Group'!$B$5:$B$7</c:f>
              <c:numCache>
                <c:formatCode>General</c:formatCode>
                <c:ptCount val="3"/>
                <c:pt idx="0">
                  <c:v>27</c:v>
                </c:pt>
                <c:pt idx="1">
                  <c:v>50</c:v>
                </c:pt>
                <c:pt idx="2">
                  <c:v>10</c:v>
                </c:pt>
              </c:numCache>
            </c:numRef>
          </c:val>
          <c:extLst>
            <c:ext xmlns:c16="http://schemas.microsoft.com/office/drawing/2014/chart" uri="{C3380CC4-5D6E-409C-BE32-E72D297353CC}">
              <c16:uniqueId val="{00000000-6141-4B6E-860F-A8848FDF2C9E}"/>
            </c:ext>
          </c:extLst>
        </c:ser>
        <c:ser>
          <c:idx val="1"/>
          <c:order val="1"/>
          <c:tx>
            <c:strRef>
              <c:f>'Output by Age Group'!$C$3:$C$4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'Output by Age Group'!$A$5:$A$7</c:f>
              <c:strCache>
                <c:ptCount val="3"/>
                <c:pt idx="0">
                  <c:v>18-24</c:v>
                </c:pt>
                <c:pt idx="1">
                  <c:v>25-29</c:v>
                </c:pt>
                <c:pt idx="2">
                  <c:v>30-33</c:v>
                </c:pt>
              </c:strCache>
            </c:strRef>
          </c:cat>
          <c:val>
            <c:numRef>
              <c:f>'Output by Age Group'!$C$5:$C$7</c:f>
              <c:numCache>
                <c:formatCode>General</c:formatCode>
                <c:ptCount val="3"/>
                <c:pt idx="0">
                  <c:v>190</c:v>
                </c:pt>
                <c:pt idx="1">
                  <c:v>87</c:v>
                </c:pt>
                <c:pt idx="2">
                  <c:v>24</c:v>
                </c:pt>
              </c:numCache>
            </c:numRef>
          </c:val>
          <c:extLst>
            <c:ext xmlns:c16="http://schemas.microsoft.com/office/drawing/2014/chart" uri="{C3380CC4-5D6E-409C-BE32-E72D297353CC}">
              <c16:uniqueId val="{00000001-6141-4B6E-860F-A8848FDF2C9E}"/>
            </c:ext>
          </c:extLst>
        </c:ser>
        <c:dLbls>
          <c:showLegendKey val="0"/>
          <c:showVal val="1"/>
          <c:showCatName val="0"/>
          <c:showSerName val="0"/>
          <c:showPercent val="0"/>
          <c:showBubbleSize val="0"/>
        </c:dLbls>
        <c:gapWidth val="219"/>
        <c:overlap val="-27"/>
        <c:axId val="865734336"/>
        <c:axId val="865735976"/>
      </c:barChart>
      <c:catAx>
        <c:axId val="86573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5735976"/>
        <c:crosses val="autoZero"/>
        <c:auto val="1"/>
        <c:lblAlgn val="ctr"/>
        <c:lblOffset val="100"/>
        <c:noMultiLvlLbl val="0"/>
      </c:catAx>
      <c:valAx>
        <c:axId val="865735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5734336"/>
        <c:crosses val="autoZero"/>
        <c:crossBetween val="between"/>
      </c:valAx>
      <c:spPr>
        <a:noFill/>
        <a:ln>
          <a:noFill/>
        </a:ln>
        <a:effectLst/>
      </c:spPr>
    </c:plotArea>
    <c:legend>
      <c:legendPos val="r"/>
      <c:layout>
        <c:manualLayout>
          <c:xMode val="edge"/>
          <c:yMode val="edge"/>
          <c:x val="0.79623184601924757"/>
          <c:y val="1.9096675415573076E-2"/>
          <c:w val="0.18987926509186348"/>
          <c:h val="0.105325167687372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analysis..xlsx]Feedback by Gender!PivotTable1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Feedback by Gender</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'Feedback by Gender'!$B$3:$B$4</c:f>
              <c:strCache>
                <c:ptCount val="1"/>
                <c:pt idx="0">
                  <c:v>Negative </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'Feedback by Gender'!$A$5:$A$6</c:f>
              <c:strCache>
                <c:ptCount val="2"/>
                <c:pt idx="0">
                  <c:v>Female</c:v>
                </c:pt>
                <c:pt idx="1">
                  <c:v>Male</c:v>
                </c:pt>
              </c:strCache>
            </c:strRef>
          </c:cat>
          <c:val>
            <c:numRef>
              <c:f>'Feedback by Gender'!$B$5:$B$6</c:f>
              <c:numCache>
                <c:formatCode>General</c:formatCode>
                <c:ptCount val="2"/>
                <c:pt idx="0">
                  <c:v>27</c:v>
                </c:pt>
                <c:pt idx="1">
                  <c:v>44</c:v>
                </c:pt>
              </c:numCache>
            </c:numRef>
          </c:val>
          <c:extLst>
            <c:ext xmlns:c16="http://schemas.microsoft.com/office/drawing/2014/chart" uri="{C3380CC4-5D6E-409C-BE32-E72D297353CC}">
              <c16:uniqueId val="{00000000-0A91-4287-B210-A71953247A19}"/>
            </c:ext>
          </c:extLst>
        </c:ser>
        <c:ser>
          <c:idx val="1"/>
          <c:order val="1"/>
          <c:tx>
            <c:strRef>
              <c:f>'Feedback by Gender'!$C$3:$C$4</c:f>
              <c:strCache>
                <c:ptCount val="1"/>
                <c:pt idx="0">
                  <c:v>Positive</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'Feedback by Gender'!$A$5:$A$6</c:f>
              <c:strCache>
                <c:ptCount val="2"/>
                <c:pt idx="0">
                  <c:v>Female</c:v>
                </c:pt>
                <c:pt idx="1">
                  <c:v>Male</c:v>
                </c:pt>
              </c:strCache>
            </c:strRef>
          </c:cat>
          <c:val>
            <c:numRef>
              <c:f>'Feedback by Gender'!$C$5:$C$6</c:f>
              <c:numCache>
                <c:formatCode>General</c:formatCode>
                <c:ptCount val="2"/>
                <c:pt idx="0">
                  <c:v>139</c:v>
                </c:pt>
                <c:pt idx="1">
                  <c:v>178</c:v>
                </c:pt>
              </c:numCache>
            </c:numRef>
          </c:val>
          <c:extLst>
            <c:ext xmlns:c16="http://schemas.microsoft.com/office/drawing/2014/chart" uri="{C3380CC4-5D6E-409C-BE32-E72D297353CC}">
              <c16:uniqueId val="{00000001-0A91-4287-B210-A71953247A19}"/>
            </c:ext>
          </c:extLst>
        </c:ser>
        <c:dLbls>
          <c:showLegendKey val="0"/>
          <c:showVal val="1"/>
          <c:showCatName val="0"/>
          <c:showSerName val="0"/>
          <c:showPercent val="0"/>
          <c:showBubbleSize val="0"/>
        </c:dLbls>
        <c:gapWidth val="219"/>
        <c:overlap val="-27"/>
        <c:axId val="1315865048"/>
        <c:axId val="1315865704"/>
      </c:barChart>
      <c:catAx>
        <c:axId val="1315865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5865704"/>
        <c:crosses val="autoZero"/>
        <c:auto val="1"/>
        <c:lblAlgn val="ctr"/>
        <c:lblOffset val="100"/>
        <c:noMultiLvlLbl val="0"/>
      </c:catAx>
      <c:valAx>
        <c:axId val="1315865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5865048"/>
        <c:crosses val="autoZero"/>
        <c:crossBetween val="between"/>
      </c:valAx>
      <c:spPr>
        <a:noFill/>
        <a:ln>
          <a:noFill/>
        </a:ln>
        <a:effectLst/>
      </c:spPr>
    </c:plotArea>
    <c:legend>
      <c:legendPos val="r"/>
      <c:layout>
        <c:manualLayout>
          <c:xMode val="edge"/>
          <c:yMode val="edge"/>
          <c:x val="0.71618963254593171"/>
          <c:y val="1.0045567220764046E-2"/>
          <c:w val="0.27547703412073493"/>
          <c:h val="0.114584426946631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analysis..xlsx]Feedback by Customer Type!PivotTable1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Feedback by Customer Type</a:t>
            </a:r>
            <a:endParaRPr lang="en-US"/>
          </a:p>
        </c:rich>
      </c:tx>
      <c:layout>
        <c:manualLayout>
          <c:xMode val="edge"/>
          <c:yMode val="edge"/>
          <c:x val="0.1222430008748906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0.12548425196850393"/>
          <c:y val="8.8379629629629614E-2"/>
          <c:w val="0.77484908136482933"/>
          <c:h val="0.80422098279381748"/>
        </c:manualLayout>
      </c:layout>
      <c:barChart>
        <c:barDir val="bar"/>
        <c:grouping val="clustered"/>
        <c:varyColors val="0"/>
        <c:ser>
          <c:idx val="0"/>
          <c:order val="0"/>
          <c:tx>
            <c:strRef>
              <c:f>'Feedback by Customer Type'!$B$3:$B$4</c:f>
              <c:strCache>
                <c:ptCount val="1"/>
                <c:pt idx="0">
                  <c:v>Negative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'Feedback by Customer Type'!$A$5:$A$7</c:f>
              <c:strCache>
                <c:ptCount val="3"/>
                <c:pt idx="0">
                  <c:v>Frequent</c:v>
                </c:pt>
                <c:pt idx="1">
                  <c:v>New</c:v>
                </c:pt>
                <c:pt idx="2">
                  <c:v>Regular</c:v>
                </c:pt>
              </c:strCache>
            </c:strRef>
          </c:cat>
          <c:val>
            <c:numRef>
              <c:f>'Feedback by Customer Type'!$B$5:$B$7</c:f>
              <c:numCache>
                <c:formatCode>General</c:formatCode>
                <c:ptCount val="3"/>
                <c:pt idx="0">
                  <c:v>26</c:v>
                </c:pt>
                <c:pt idx="1">
                  <c:v>6</c:v>
                </c:pt>
                <c:pt idx="2">
                  <c:v>39</c:v>
                </c:pt>
              </c:numCache>
            </c:numRef>
          </c:val>
          <c:extLst>
            <c:ext xmlns:c16="http://schemas.microsoft.com/office/drawing/2014/chart" uri="{C3380CC4-5D6E-409C-BE32-E72D297353CC}">
              <c16:uniqueId val="{00000000-E3A0-4B2B-86CF-D763D51E92BD}"/>
            </c:ext>
          </c:extLst>
        </c:ser>
        <c:ser>
          <c:idx val="1"/>
          <c:order val="1"/>
          <c:tx>
            <c:strRef>
              <c:f>'Feedback by Customer Type'!$C$3:$C$4</c:f>
              <c:strCache>
                <c:ptCount val="1"/>
                <c:pt idx="0">
                  <c:v>Positive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'Feedback by Customer Type'!$A$5:$A$7</c:f>
              <c:strCache>
                <c:ptCount val="3"/>
                <c:pt idx="0">
                  <c:v>Frequent</c:v>
                </c:pt>
                <c:pt idx="1">
                  <c:v>New</c:v>
                </c:pt>
                <c:pt idx="2">
                  <c:v>Regular</c:v>
                </c:pt>
              </c:strCache>
            </c:strRef>
          </c:cat>
          <c:val>
            <c:numRef>
              <c:f>'Feedback by Customer Type'!$C$5:$C$7</c:f>
              <c:numCache>
                <c:formatCode>General</c:formatCode>
                <c:ptCount val="3"/>
                <c:pt idx="0">
                  <c:v>120</c:v>
                </c:pt>
                <c:pt idx="1">
                  <c:v>18</c:v>
                </c:pt>
                <c:pt idx="2">
                  <c:v>179</c:v>
                </c:pt>
              </c:numCache>
            </c:numRef>
          </c:val>
          <c:extLst>
            <c:ext xmlns:c16="http://schemas.microsoft.com/office/drawing/2014/chart" uri="{C3380CC4-5D6E-409C-BE32-E72D297353CC}">
              <c16:uniqueId val="{00000001-E3A0-4B2B-86CF-D763D51E92BD}"/>
            </c:ext>
          </c:extLst>
        </c:ser>
        <c:dLbls>
          <c:showLegendKey val="0"/>
          <c:showVal val="1"/>
          <c:showCatName val="0"/>
          <c:showSerName val="0"/>
          <c:showPercent val="0"/>
          <c:showBubbleSize val="0"/>
        </c:dLbls>
        <c:gapWidth val="182"/>
        <c:axId val="1511442528"/>
        <c:axId val="1511443840"/>
      </c:barChart>
      <c:catAx>
        <c:axId val="151144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1443840"/>
        <c:crosses val="autoZero"/>
        <c:auto val="1"/>
        <c:lblAlgn val="ctr"/>
        <c:lblOffset val="100"/>
        <c:noMultiLvlLbl val="0"/>
      </c:catAx>
      <c:valAx>
        <c:axId val="151144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1442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analysis..xlsx]Feedback by Education!PivotTable1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Feedback by Education</a:t>
            </a:r>
          </a:p>
        </c:rich>
      </c:tx>
      <c:layout>
        <c:manualLayout>
          <c:xMode val="edge"/>
          <c:yMode val="edge"/>
          <c:x val="0.22264566929133861"/>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'Feedback by Education'!$B$3:$B$4</c:f>
              <c:strCache>
                <c:ptCount val="1"/>
                <c:pt idx="0">
                  <c:v>Negative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'Feedback by Education'!$A$5:$A$9</c:f>
              <c:strCache>
                <c:ptCount val="5"/>
                <c:pt idx="0">
                  <c:v>Graduate</c:v>
                </c:pt>
                <c:pt idx="1">
                  <c:v>Ph.D</c:v>
                </c:pt>
                <c:pt idx="2">
                  <c:v>Post Graduate</c:v>
                </c:pt>
                <c:pt idx="3">
                  <c:v>School</c:v>
                </c:pt>
                <c:pt idx="4">
                  <c:v>Uneducated</c:v>
                </c:pt>
              </c:strCache>
            </c:strRef>
          </c:cat>
          <c:val>
            <c:numRef>
              <c:f>'Feedback by Education'!$B$5:$B$9</c:f>
              <c:numCache>
                <c:formatCode>General</c:formatCode>
                <c:ptCount val="5"/>
                <c:pt idx="0">
                  <c:v>42</c:v>
                </c:pt>
                <c:pt idx="1">
                  <c:v>5</c:v>
                </c:pt>
                <c:pt idx="2">
                  <c:v>20</c:v>
                </c:pt>
                <c:pt idx="3">
                  <c:v>3</c:v>
                </c:pt>
                <c:pt idx="4">
                  <c:v>1</c:v>
                </c:pt>
              </c:numCache>
            </c:numRef>
          </c:val>
          <c:extLst>
            <c:ext xmlns:c16="http://schemas.microsoft.com/office/drawing/2014/chart" uri="{C3380CC4-5D6E-409C-BE32-E72D297353CC}">
              <c16:uniqueId val="{00000000-8EFC-4540-AAC5-C6D949AE690A}"/>
            </c:ext>
          </c:extLst>
        </c:ser>
        <c:ser>
          <c:idx val="1"/>
          <c:order val="1"/>
          <c:tx>
            <c:strRef>
              <c:f>'Feedback by Education'!$C$3:$C$4</c:f>
              <c:strCache>
                <c:ptCount val="1"/>
                <c:pt idx="0">
                  <c:v>Positive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'Feedback by Education'!$A$5:$A$9</c:f>
              <c:strCache>
                <c:ptCount val="5"/>
                <c:pt idx="0">
                  <c:v>Graduate</c:v>
                </c:pt>
                <c:pt idx="1">
                  <c:v>Ph.D</c:v>
                </c:pt>
                <c:pt idx="2">
                  <c:v>Post Graduate</c:v>
                </c:pt>
                <c:pt idx="3">
                  <c:v>School</c:v>
                </c:pt>
                <c:pt idx="4">
                  <c:v>Uneducated</c:v>
                </c:pt>
              </c:strCache>
            </c:strRef>
          </c:cat>
          <c:val>
            <c:numRef>
              <c:f>'Feedback by Education'!$C$5:$C$9</c:f>
              <c:numCache>
                <c:formatCode>General</c:formatCode>
                <c:ptCount val="5"/>
                <c:pt idx="0">
                  <c:v>135</c:v>
                </c:pt>
                <c:pt idx="1">
                  <c:v>18</c:v>
                </c:pt>
                <c:pt idx="2">
                  <c:v>154</c:v>
                </c:pt>
                <c:pt idx="3">
                  <c:v>9</c:v>
                </c:pt>
                <c:pt idx="4">
                  <c:v>1</c:v>
                </c:pt>
              </c:numCache>
            </c:numRef>
          </c:val>
          <c:extLst>
            <c:ext xmlns:c16="http://schemas.microsoft.com/office/drawing/2014/chart" uri="{C3380CC4-5D6E-409C-BE32-E72D297353CC}">
              <c16:uniqueId val="{00000001-8EFC-4540-AAC5-C6D949AE690A}"/>
            </c:ext>
          </c:extLst>
        </c:ser>
        <c:dLbls>
          <c:dLblPos val="outEnd"/>
          <c:showLegendKey val="0"/>
          <c:showVal val="1"/>
          <c:showCatName val="0"/>
          <c:showSerName val="0"/>
          <c:showPercent val="0"/>
          <c:showBubbleSize val="0"/>
        </c:dLbls>
        <c:gapWidth val="182"/>
        <c:axId val="762841592"/>
        <c:axId val="762841920"/>
      </c:barChart>
      <c:catAx>
        <c:axId val="762841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2841920"/>
        <c:crosses val="autoZero"/>
        <c:auto val="1"/>
        <c:lblAlgn val="ctr"/>
        <c:lblOffset val="100"/>
        <c:noMultiLvlLbl val="0"/>
      </c:catAx>
      <c:valAx>
        <c:axId val="762841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2841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analysis..xlsx]Avg Family Size by Occupation!PivotTable1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Avg Family Size by Occupation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Family Size by Occupation'!$B$3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Family Size by Occupation'!$A$4:$A$7</c:f>
              <c:strCache>
                <c:ptCount val="4"/>
                <c:pt idx="0">
                  <c:v>Employee</c:v>
                </c:pt>
                <c:pt idx="1">
                  <c:v>House wife</c:v>
                </c:pt>
                <c:pt idx="2">
                  <c:v>Self Employeed</c:v>
                </c:pt>
                <c:pt idx="3">
                  <c:v>Student</c:v>
                </c:pt>
              </c:strCache>
            </c:strRef>
          </c:cat>
          <c:val>
            <c:numRef>
              <c:f>'Avg Family Size by Occupation'!$B$4:$B$7</c:f>
              <c:numCache>
                <c:formatCode>0</c:formatCode>
                <c:ptCount val="4"/>
                <c:pt idx="0">
                  <c:v>3.2796610169491527</c:v>
                </c:pt>
                <c:pt idx="1">
                  <c:v>4.7777777777777777</c:v>
                </c:pt>
                <c:pt idx="2">
                  <c:v>3.5185185185185186</c:v>
                </c:pt>
                <c:pt idx="3">
                  <c:v>3.1545893719806761</c:v>
                </c:pt>
              </c:numCache>
            </c:numRef>
          </c:val>
          <c:extLst>
            <c:ext xmlns:c16="http://schemas.microsoft.com/office/drawing/2014/chart" uri="{C3380CC4-5D6E-409C-BE32-E72D297353CC}">
              <c16:uniqueId val="{00000000-4843-4D9D-B7BC-06989BEE5CB3}"/>
            </c:ext>
          </c:extLst>
        </c:ser>
        <c:dLbls>
          <c:dLblPos val="outEnd"/>
          <c:showLegendKey val="0"/>
          <c:showVal val="1"/>
          <c:showCatName val="0"/>
          <c:showSerName val="0"/>
          <c:showPercent val="0"/>
          <c:showBubbleSize val="0"/>
        </c:dLbls>
        <c:gapWidth val="219"/>
        <c:overlap val="-27"/>
        <c:axId val="273808984"/>
        <c:axId val="273809640"/>
      </c:barChart>
      <c:catAx>
        <c:axId val="273808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3809640"/>
        <c:crosses val="autoZero"/>
        <c:auto val="1"/>
        <c:lblAlgn val="ctr"/>
        <c:lblOffset val="100"/>
        <c:noMultiLvlLbl val="0"/>
      </c:catAx>
      <c:valAx>
        <c:axId val="273809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3808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analysis..xlsx]Overall Output split!PivotTable2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Overall Output split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833333333333334"/>
              <c:y val="-8.33333333333333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000000000000002"/>
              <c:y val="-1.3888888888888888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'Overall Output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A7-441F-B364-6471AFB842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4A7-441F-B364-6471AFB842E1}"/>
              </c:ext>
            </c:extLst>
          </c:dPt>
          <c:dLbls>
            <c:dLbl>
              <c:idx val="0"/>
              <c:layout>
                <c:manualLayout>
                  <c:x val="0.10833333333333334"/>
                  <c:y val="-8.33333333333333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A7-441F-B364-6471AFB842E1}"/>
                </c:ext>
              </c:extLst>
            </c:dLbl>
            <c:dLbl>
              <c:idx val="1"/>
              <c:layout>
                <c:manualLayout>
                  <c:x val="-0.15000000000000002"/>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A7-441F-B364-6471AFB842E1}"/>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Output split'!$A$4:$A$5</c:f>
              <c:strCache>
                <c:ptCount val="2"/>
                <c:pt idx="0">
                  <c:v>No</c:v>
                </c:pt>
                <c:pt idx="1">
                  <c:v>Yes</c:v>
                </c:pt>
              </c:strCache>
            </c:strRef>
          </c:cat>
          <c:val>
            <c:numRef>
              <c:f>'Overall Output split'!$B$4:$B$5</c:f>
              <c:numCache>
                <c:formatCode>0%</c:formatCode>
                <c:ptCount val="2"/>
                <c:pt idx="0">
                  <c:v>0.22422680412371135</c:v>
                </c:pt>
                <c:pt idx="1">
                  <c:v>0.77577319587628868</c:v>
                </c:pt>
              </c:numCache>
            </c:numRef>
          </c:val>
          <c:extLst>
            <c:ext xmlns:c16="http://schemas.microsoft.com/office/drawing/2014/chart" uri="{C3380CC4-5D6E-409C-BE32-E72D297353CC}">
              <c16:uniqueId val="{00000000-E4A7-441F-B364-6471AFB842E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analysis..xlsx]Output by Income bracket!PivotTable1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Output by Income bracket</a:t>
            </a:r>
            <a:endParaRPr lang="en-US" b="1"/>
          </a:p>
        </c:rich>
      </c:tx>
      <c:layout>
        <c:manualLayout>
          <c:xMode val="edge"/>
          <c:yMode val="edge"/>
          <c:x val="4.0369308415340928E-2"/>
          <c:y val="2.14674214220666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461304410020503"/>
          <c:y val="0.22756764017719014"/>
          <c:w val="0.8097991479001827"/>
          <c:h val="0.50802692519250559"/>
        </c:manualLayout>
      </c:layout>
      <c:barChart>
        <c:barDir val="col"/>
        <c:grouping val="clustered"/>
        <c:varyColors val="0"/>
        <c:ser>
          <c:idx val="0"/>
          <c:order val="0"/>
          <c:tx>
            <c:strRef>
              <c:f>'Output by Income bracket'!$B$3:$B$4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 by Income bracket'!$A$5:$A$9</c:f>
              <c:strCache>
                <c:ptCount val="5"/>
                <c:pt idx="0">
                  <c:v>10001 to 25000</c:v>
                </c:pt>
                <c:pt idx="1">
                  <c:v>25001 to 50000</c:v>
                </c:pt>
                <c:pt idx="2">
                  <c:v>Below Rs.10000</c:v>
                </c:pt>
                <c:pt idx="3">
                  <c:v>More than 50000</c:v>
                </c:pt>
                <c:pt idx="4">
                  <c:v>No Income</c:v>
                </c:pt>
              </c:strCache>
            </c:strRef>
          </c:cat>
          <c:val>
            <c:numRef>
              <c:f>'Output by Income bracket'!$B$5:$B$9</c:f>
              <c:numCache>
                <c:formatCode>General</c:formatCode>
                <c:ptCount val="5"/>
                <c:pt idx="0">
                  <c:v>13</c:v>
                </c:pt>
                <c:pt idx="1">
                  <c:v>27</c:v>
                </c:pt>
                <c:pt idx="2">
                  <c:v>6</c:v>
                </c:pt>
                <c:pt idx="3">
                  <c:v>18</c:v>
                </c:pt>
                <c:pt idx="4">
                  <c:v>23</c:v>
                </c:pt>
              </c:numCache>
            </c:numRef>
          </c:val>
          <c:extLst>
            <c:ext xmlns:c16="http://schemas.microsoft.com/office/drawing/2014/chart" uri="{C3380CC4-5D6E-409C-BE32-E72D297353CC}">
              <c16:uniqueId val="{00000000-5CBD-4BCC-AA0C-DC65A9362531}"/>
            </c:ext>
          </c:extLst>
        </c:ser>
        <c:ser>
          <c:idx val="1"/>
          <c:order val="1"/>
          <c:tx>
            <c:strRef>
              <c:f>'Output by Income bracket'!$C$3:$C$4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 by Income bracket'!$A$5:$A$9</c:f>
              <c:strCache>
                <c:ptCount val="5"/>
                <c:pt idx="0">
                  <c:v>10001 to 25000</c:v>
                </c:pt>
                <c:pt idx="1">
                  <c:v>25001 to 50000</c:v>
                </c:pt>
                <c:pt idx="2">
                  <c:v>Below Rs.10000</c:v>
                </c:pt>
                <c:pt idx="3">
                  <c:v>More than 50000</c:v>
                </c:pt>
                <c:pt idx="4">
                  <c:v>No Income</c:v>
                </c:pt>
              </c:strCache>
            </c:strRef>
          </c:cat>
          <c:val>
            <c:numRef>
              <c:f>'Output by Income bracket'!$C$5:$C$9</c:f>
              <c:numCache>
                <c:formatCode>General</c:formatCode>
                <c:ptCount val="5"/>
                <c:pt idx="0">
                  <c:v>32</c:v>
                </c:pt>
                <c:pt idx="1">
                  <c:v>42</c:v>
                </c:pt>
                <c:pt idx="2">
                  <c:v>19</c:v>
                </c:pt>
                <c:pt idx="3">
                  <c:v>44</c:v>
                </c:pt>
                <c:pt idx="4">
                  <c:v>164</c:v>
                </c:pt>
              </c:numCache>
            </c:numRef>
          </c:val>
          <c:extLst>
            <c:ext xmlns:c16="http://schemas.microsoft.com/office/drawing/2014/chart" uri="{C3380CC4-5D6E-409C-BE32-E72D297353CC}">
              <c16:uniqueId val="{00000001-5CBD-4BCC-AA0C-DC65A9362531}"/>
            </c:ext>
          </c:extLst>
        </c:ser>
        <c:dLbls>
          <c:showLegendKey val="0"/>
          <c:showVal val="1"/>
          <c:showCatName val="0"/>
          <c:showSerName val="0"/>
          <c:showPercent val="0"/>
          <c:showBubbleSize val="0"/>
        </c:dLbls>
        <c:gapWidth val="219"/>
        <c:overlap val="-27"/>
        <c:axId val="400707768"/>
        <c:axId val="400709080"/>
      </c:barChart>
      <c:catAx>
        <c:axId val="40070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00709080"/>
        <c:crosses val="autoZero"/>
        <c:auto val="1"/>
        <c:lblAlgn val="ctr"/>
        <c:lblOffset val="100"/>
        <c:noMultiLvlLbl val="0"/>
      </c:catAx>
      <c:valAx>
        <c:axId val="400709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0707768"/>
        <c:crosses val="autoZero"/>
        <c:crossBetween val="between"/>
      </c:valAx>
      <c:spPr>
        <a:noFill/>
        <a:ln>
          <a:noFill/>
        </a:ln>
        <a:effectLst/>
      </c:spPr>
    </c:plotArea>
    <c:legend>
      <c:legendPos val="r"/>
      <c:layout>
        <c:manualLayout>
          <c:xMode val="edge"/>
          <c:yMode val="edge"/>
          <c:x val="0.7287105673821157"/>
          <c:y val="2.8564085739282562E-2"/>
          <c:w val="0.2566643365141319"/>
          <c:h val="8.680664916885387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analysis..xlsx]Output by Age Group!PivotTable1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Output by Age Group</a:t>
            </a:r>
            <a:endParaRPr lang="en-US" b="1"/>
          </a:p>
        </c:rich>
      </c:tx>
      <c:layout>
        <c:manualLayout>
          <c:xMode val="edge"/>
          <c:yMode val="edge"/>
          <c:x val="8.401288722839409E-2"/>
          <c:y val="6.613333000063008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7356439700680503E-2"/>
          <c:y val="0.1911593426884298"/>
          <c:w val="0.8624793353363418"/>
          <c:h val="0.69982689332478021"/>
        </c:manualLayout>
      </c:layout>
      <c:barChart>
        <c:barDir val="col"/>
        <c:grouping val="clustered"/>
        <c:varyColors val="0"/>
        <c:ser>
          <c:idx val="0"/>
          <c:order val="0"/>
          <c:tx>
            <c:strRef>
              <c:f>'Output by Age Group'!$B$3:$B$4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 by Age Group'!$A$5:$A$7</c:f>
              <c:strCache>
                <c:ptCount val="3"/>
                <c:pt idx="0">
                  <c:v>18-24</c:v>
                </c:pt>
                <c:pt idx="1">
                  <c:v>25-29</c:v>
                </c:pt>
                <c:pt idx="2">
                  <c:v>30-33</c:v>
                </c:pt>
              </c:strCache>
            </c:strRef>
          </c:cat>
          <c:val>
            <c:numRef>
              <c:f>'Output by Age Group'!$B$5:$B$7</c:f>
              <c:numCache>
                <c:formatCode>General</c:formatCode>
                <c:ptCount val="3"/>
                <c:pt idx="0">
                  <c:v>27</c:v>
                </c:pt>
                <c:pt idx="1">
                  <c:v>50</c:v>
                </c:pt>
                <c:pt idx="2">
                  <c:v>10</c:v>
                </c:pt>
              </c:numCache>
            </c:numRef>
          </c:val>
          <c:extLst>
            <c:ext xmlns:c16="http://schemas.microsoft.com/office/drawing/2014/chart" uri="{C3380CC4-5D6E-409C-BE32-E72D297353CC}">
              <c16:uniqueId val="{00000000-4454-4804-A453-9AAF45E13D14}"/>
            </c:ext>
          </c:extLst>
        </c:ser>
        <c:ser>
          <c:idx val="1"/>
          <c:order val="1"/>
          <c:tx>
            <c:strRef>
              <c:f>'Output by Age Group'!$C$3:$C$4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 by Age Group'!$A$5:$A$7</c:f>
              <c:strCache>
                <c:ptCount val="3"/>
                <c:pt idx="0">
                  <c:v>18-24</c:v>
                </c:pt>
                <c:pt idx="1">
                  <c:v>25-29</c:v>
                </c:pt>
                <c:pt idx="2">
                  <c:v>30-33</c:v>
                </c:pt>
              </c:strCache>
            </c:strRef>
          </c:cat>
          <c:val>
            <c:numRef>
              <c:f>'Output by Age Group'!$C$5:$C$7</c:f>
              <c:numCache>
                <c:formatCode>General</c:formatCode>
                <c:ptCount val="3"/>
                <c:pt idx="0">
                  <c:v>190</c:v>
                </c:pt>
                <c:pt idx="1">
                  <c:v>87</c:v>
                </c:pt>
                <c:pt idx="2">
                  <c:v>24</c:v>
                </c:pt>
              </c:numCache>
            </c:numRef>
          </c:val>
          <c:extLst>
            <c:ext xmlns:c16="http://schemas.microsoft.com/office/drawing/2014/chart" uri="{C3380CC4-5D6E-409C-BE32-E72D297353CC}">
              <c16:uniqueId val="{00000001-4454-4804-A453-9AAF45E13D14}"/>
            </c:ext>
          </c:extLst>
        </c:ser>
        <c:dLbls>
          <c:showLegendKey val="0"/>
          <c:showVal val="1"/>
          <c:showCatName val="0"/>
          <c:showSerName val="0"/>
          <c:showPercent val="0"/>
          <c:showBubbleSize val="0"/>
        </c:dLbls>
        <c:gapWidth val="219"/>
        <c:overlap val="-27"/>
        <c:axId val="865734336"/>
        <c:axId val="865735976"/>
      </c:barChart>
      <c:catAx>
        <c:axId val="86573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5735976"/>
        <c:crosses val="autoZero"/>
        <c:auto val="1"/>
        <c:lblAlgn val="ctr"/>
        <c:lblOffset val="100"/>
        <c:noMultiLvlLbl val="0"/>
      </c:catAx>
      <c:valAx>
        <c:axId val="865735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5734336"/>
        <c:crosses val="autoZero"/>
        <c:crossBetween val="between"/>
      </c:valAx>
      <c:spPr>
        <a:noFill/>
        <a:ln>
          <a:noFill/>
        </a:ln>
        <a:effectLst/>
      </c:spPr>
    </c:plotArea>
    <c:legend>
      <c:legendPos val="r"/>
      <c:layout>
        <c:manualLayout>
          <c:xMode val="edge"/>
          <c:yMode val="edge"/>
          <c:x val="0.79623184601924757"/>
          <c:y val="1.9096675415573076E-2"/>
          <c:w val="0.18987926509186348"/>
          <c:h val="0.105325167687372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analysis..xlsx]Segment mix by Occupation!PivotTable1</c:name>
    <c:fmtId val="1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a:t>Segment mix by Occupation</a:t>
            </a:r>
          </a:p>
        </c:rich>
      </c:tx>
      <c:layout>
        <c:manualLayout>
          <c:xMode val="edge"/>
          <c:yMode val="edge"/>
          <c:x val="3.6624690089775973E-2"/>
          <c:y val="3.207564801648738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w="6350">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layout/>
          <c:spPr>
            <a:noFill/>
            <a:ln w="6350">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887482715574875"/>
          <c:y val="0.1388491650794883"/>
          <c:w val="0.5265917495459882"/>
          <c:h val="0.73956306375126935"/>
        </c:manualLayout>
      </c:layout>
      <c:barChart>
        <c:barDir val="bar"/>
        <c:grouping val="clustered"/>
        <c:varyColors val="0"/>
        <c:ser>
          <c:idx val="0"/>
          <c:order val="0"/>
          <c:tx>
            <c:strRef>
              <c:f>'Segment mix by Occupation'!$B$3:$B$4</c:f>
              <c:strCache>
                <c:ptCount val="1"/>
                <c:pt idx="0">
                  <c:v>Churned &amp; Unhappy</c:v>
                </c:pt>
              </c:strCache>
            </c:strRef>
          </c:tx>
          <c:spPr>
            <a:solidFill>
              <a:schemeClr val="accent1"/>
            </a:solidFill>
            <a:ln>
              <a:noFill/>
            </a:ln>
            <a:effectLst/>
          </c:spPr>
          <c:invertIfNegative val="0"/>
          <c:dLbls>
            <c:spPr>
              <a:noFill/>
              <a:ln w="6350">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'Segment mix by Occupation'!$A$5:$A$8</c:f>
              <c:strCache>
                <c:ptCount val="4"/>
                <c:pt idx="0">
                  <c:v>Employee</c:v>
                </c:pt>
                <c:pt idx="1">
                  <c:v>House wife</c:v>
                </c:pt>
                <c:pt idx="2">
                  <c:v>Self Employeed</c:v>
                </c:pt>
                <c:pt idx="3">
                  <c:v>Student</c:v>
                </c:pt>
              </c:strCache>
            </c:strRef>
          </c:cat>
          <c:val>
            <c:numRef>
              <c:f>'Segment mix by Occupation'!$B$5:$B$8</c:f>
              <c:numCache>
                <c:formatCode>General</c:formatCode>
                <c:ptCount val="4"/>
                <c:pt idx="0">
                  <c:v>33</c:v>
                </c:pt>
                <c:pt idx="1">
                  <c:v>1</c:v>
                </c:pt>
                <c:pt idx="2">
                  <c:v>16</c:v>
                </c:pt>
                <c:pt idx="3">
                  <c:v>21</c:v>
                </c:pt>
              </c:numCache>
            </c:numRef>
          </c:val>
          <c:extLst>
            <c:ext xmlns:c16="http://schemas.microsoft.com/office/drawing/2014/chart" uri="{C3380CC4-5D6E-409C-BE32-E72D297353CC}">
              <c16:uniqueId val="{00000000-DF46-42CA-B731-7BD59FFAD857}"/>
            </c:ext>
          </c:extLst>
        </c:ser>
        <c:ser>
          <c:idx val="1"/>
          <c:order val="1"/>
          <c:tx>
            <c:strRef>
              <c:f>'Segment mix by Occupation'!$C$3:$C$4</c:f>
              <c:strCache>
                <c:ptCount val="1"/>
                <c:pt idx="0">
                  <c:v>Lost Potential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'Segment mix by Occupation'!$A$5:$A$8</c:f>
              <c:strCache>
                <c:ptCount val="4"/>
                <c:pt idx="0">
                  <c:v>Employee</c:v>
                </c:pt>
                <c:pt idx="1">
                  <c:v>House wife</c:v>
                </c:pt>
                <c:pt idx="2">
                  <c:v>Self Employeed</c:v>
                </c:pt>
                <c:pt idx="3">
                  <c:v>Student</c:v>
                </c:pt>
              </c:strCache>
            </c:strRef>
          </c:cat>
          <c:val>
            <c:numRef>
              <c:f>'Segment mix by Occupation'!$C$5:$C$8</c:f>
              <c:numCache>
                <c:formatCode>General</c:formatCode>
                <c:ptCount val="4"/>
                <c:pt idx="0">
                  <c:v>13</c:v>
                </c:pt>
                <c:pt idx="1">
                  <c:v>2</c:v>
                </c:pt>
                <c:pt idx="2">
                  <c:v>7</c:v>
                </c:pt>
                <c:pt idx="3">
                  <c:v>12</c:v>
                </c:pt>
              </c:numCache>
            </c:numRef>
          </c:val>
          <c:extLst>
            <c:ext xmlns:c16="http://schemas.microsoft.com/office/drawing/2014/chart" uri="{C3380CC4-5D6E-409C-BE32-E72D297353CC}">
              <c16:uniqueId val="{00000001-DF46-42CA-B731-7BD59FFAD857}"/>
            </c:ext>
          </c:extLst>
        </c:ser>
        <c:ser>
          <c:idx val="2"/>
          <c:order val="2"/>
          <c:tx>
            <c:strRef>
              <c:f>'Segment mix by Occupation'!$D$3:$D$4</c:f>
              <c:strCache>
                <c:ptCount val="1"/>
                <c:pt idx="0">
                  <c:v>Loyal Customer</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'Segment mix by Occupation'!$A$5:$A$8</c:f>
              <c:strCache>
                <c:ptCount val="4"/>
                <c:pt idx="0">
                  <c:v>Employee</c:v>
                </c:pt>
                <c:pt idx="1">
                  <c:v>House wife</c:v>
                </c:pt>
                <c:pt idx="2">
                  <c:v>Self Employeed</c:v>
                </c:pt>
                <c:pt idx="3">
                  <c:v>Student</c:v>
                </c:pt>
              </c:strCache>
            </c:strRef>
          </c:cat>
          <c:val>
            <c:numRef>
              <c:f>'Segment mix by Occupation'!$D$5:$D$8</c:f>
              <c:numCache>
                <c:formatCode>General</c:formatCode>
                <c:ptCount val="4"/>
                <c:pt idx="0">
                  <c:v>72</c:v>
                </c:pt>
                <c:pt idx="1">
                  <c:v>6</c:v>
                </c:pt>
                <c:pt idx="2">
                  <c:v>31</c:v>
                </c:pt>
                <c:pt idx="3">
                  <c:v>174</c:v>
                </c:pt>
              </c:numCache>
            </c:numRef>
          </c:val>
          <c:extLst>
            <c:ext xmlns:c16="http://schemas.microsoft.com/office/drawing/2014/chart" uri="{C3380CC4-5D6E-409C-BE32-E72D297353CC}">
              <c16:uniqueId val="{00000002-DF46-42CA-B731-7BD59FFAD857}"/>
            </c:ext>
          </c:extLst>
        </c:ser>
        <c:dLbls>
          <c:showLegendKey val="0"/>
          <c:showVal val="0"/>
          <c:showCatName val="0"/>
          <c:showSerName val="0"/>
          <c:showPercent val="0"/>
          <c:showBubbleSize val="0"/>
        </c:dLbls>
        <c:gapWidth val="219"/>
        <c:axId val="325750128"/>
        <c:axId val="325744880"/>
      </c:barChart>
      <c:catAx>
        <c:axId val="32575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25744880"/>
        <c:crosses val="autoZero"/>
        <c:auto val="1"/>
        <c:lblAlgn val="ctr"/>
        <c:lblOffset val="100"/>
        <c:noMultiLvlLbl val="0"/>
      </c:catAx>
      <c:valAx>
        <c:axId val="325744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5750128"/>
        <c:crosses val="autoZero"/>
        <c:crossBetween val="between"/>
      </c:valAx>
      <c:spPr>
        <a:noFill/>
        <a:ln>
          <a:noFill/>
        </a:ln>
        <a:effectLst/>
      </c:spPr>
    </c:plotArea>
    <c:legend>
      <c:legendPos val="r"/>
      <c:layout>
        <c:manualLayout>
          <c:xMode val="edge"/>
          <c:yMode val="edge"/>
          <c:x val="0.77219840474415624"/>
          <c:y val="2.680319082340606E-2"/>
          <c:w val="0.20327147526093217"/>
          <c:h val="0.53708308996049936"/>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analysis..xlsx]Feedback by Gender!PivotTable1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Feedback by Gender</a:t>
            </a:r>
            <a:endParaRPr lang="en-US"/>
          </a:p>
        </c:rich>
      </c:tx>
      <c:layout/>
      <c:overlay val="0"/>
      <c:spPr>
        <a:noFill/>
        <a:ln>
          <a:noFill/>
        </a:ln>
        <a:effectLst/>
      </c:sp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2"/>
          </a:solidFill>
          <a:ln>
            <a:noFill/>
          </a:ln>
          <a:effectLst/>
        </c:spPr>
        <c:marker>
          <c:symbol val="none"/>
        </c:marker>
        <c:dLbl>
          <c:idx val="0"/>
          <c:layout/>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066474756303949"/>
          <c:y val="0.24627342847717054"/>
          <c:w val="0.81112792282493473"/>
          <c:h val="0.59969268300079004"/>
        </c:manualLayout>
      </c:layout>
      <c:barChart>
        <c:barDir val="col"/>
        <c:grouping val="clustered"/>
        <c:varyColors val="0"/>
        <c:ser>
          <c:idx val="0"/>
          <c:order val="0"/>
          <c:tx>
            <c:strRef>
              <c:f>'Feedback by Gender'!$B$3:$B$4</c:f>
              <c:strCache>
                <c:ptCount val="1"/>
                <c:pt idx="0">
                  <c:v>Negative </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'Feedback by Gender'!$A$5:$A$6</c:f>
              <c:strCache>
                <c:ptCount val="2"/>
                <c:pt idx="0">
                  <c:v>Female</c:v>
                </c:pt>
                <c:pt idx="1">
                  <c:v>Male</c:v>
                </c:pt>
              </c:strCache>
            </c:strRef>
          </c:cat>
          <c:val>
            <c:numRef>
              <c:f>'Feedback by Gender'!$B$5:$B$6</c:f>
              <c:numCache>
                <c:formatCode>General</c:formatCode>
                <c:ptCount val="2"/>
                <c:pt idx="0">
                  <c:v>27</c:v>
                </c:pt>
                <c:pt idx="1">
                  <c:v>44</c:v>
                </c:pt>
              </c:numCache>
            </c:numRef>
          </c:val>
          <c:extLst>
            <c:ext xmlns:c16="http://schemas.microsoft.com/office/drawing/2014/chart" uri="{C3380CC4-5D6E-409C-BE32-E72D297353CC}">
              <c16:uniqueId val="{00000007-7605-4136-A2D7-404545AC51AF}"/>
            </c:ext>
          </c:extLst>
        </c:ser>
        <c:ser>
          <c:idx val="1"/>
          <c:order val="1"/>
          <c:tx>
            <c:strRef>
              <c:f>'Feedback by Gender'!$C$3:$C$4</c:f>
              <c:strCache>
                <c:ptCount val="1"/>
                <c:pt idx="0">
                  <c:v>Positive</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'Feedback by Gender'!$A$5:$A$6</c:f>
              <c:strCache>
                <c:ptCount val="2"/>
                <c:pt idx="0">
                  <c:v>Female</c:v>
                </c:pt>
                <c:pt idx="1">
                  <c:v>Male</c:v>
                </c:pt>
              </c:strCache>
            </c:strRef>
          </c:cat>
          <c:val>
            <c:numRef>
              <c:f>'Feedback by Gender'!$C$5:$C$6</c:f>
              <c:numCache>
                <c:formatCode>General</c:formatCode>
                <c:ptCount val="2"/>
                <c:pt idx="0">
                  <c:v>139</c:v>
                </c:pt>
                <c:pt idx="1">
                  <c:v>178</c:v>
                </c:pt>
              </c:numCache>
            </c:numRef>
          </c:val>
          <c:extLst>
            <c:ext xmlns:c16="http://schemas.microsoft.com/office/drawing/2014/chart" uri="{C3380CC4-5D6E-409C-BE32-E72D297353CC}">
              <c16:uniqueId val="{00000009-7605-4136-A2D7-404545AC51AF}"/>
            </c:ext>
          </c:extLst>
        </c:ser>
        <c:dLbls>
          <c:showLegendKey val="0"/>
          <c:showVal val="1"/>
          <c:showCatName val="0"/>
          <c:showSerName val="0"/>
          <c:showPercent val="0"/>
          <c:showBubbleSize val="0"/>
        </c:dLbls>
        <c:gapWidth val="219"/>
        <c:overlap val="-27"/>
        <c:axId val="1315865048"/>
        <c:axId val="1315865704"/>
      </c:barChart>
      <c:catAx>
        <c:axId val="1315865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5865704"/>
        <c:crosses val="autoZero"/>
        <c:auto val="1"/>
        <c:lblAlgn val="ctr"/>
        <c:lblOffset val="100"/>
        <c:noMultiLvlLbl val="0"/>
      </c:catAx>
      <c:valAx>
        <c:axId val="1315865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5865048"/>
        <c:crosses val="autoZero"/>
        <c:crossBetween val="between"/>
      </c:valAx>
    </c:plotArea>
    <c:legend>
      <c:legendPos val="r"/>
      <c:layout>
        <c:manualLayout>
          <c:xMode val="edge"/>
          <c:yMode val="edge"/>
          <c:x val="0.71618963254593171"/>
          <c:y val="1.0045567220764046E-2"/>
          <c:w val="0.27547703412073493"/>
          <c:h val="0.114584426946631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analysis..xlsx]Feedback by Customer Type!PivotTable1</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a:t>Feedback by Customer Type</a:t>
            </a:r>
          </a:p>
        </c:rich>
      </c:tx>
      <c:layout>
        <c:manualLayout>
          <c:xMode val="edge"/>
          <c:yMode val="edge"/>
          <c:x val="0.12224300087489064"/>
          <c:y val="0"/>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997822901388957"/>
          <c:y val="7.5471630994832298E-2"/>
          <c:w val="0.72963676780213638"/>
          <c:h val="0.80422098279381748"/>
        </c:manualLayout>
      </c:layout>
      <c:barChart>
        <c:barDir val="bar"/>
        <c:grouping val="clustered"/>
        <c:varyColors val="0"/>
        <c:ser>
          <c:idx val="0"/>
          <c:order val="0"/>
          <c:tx>
            <c:strRef>
              <c:f>'Feedback by Customer Type'!$B$3:$B$4</c:f>
              <c:strCache>
                <c:ptCount val="1"/>
                <c:pt idx="0">
                  <c:v>Negative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'Feedback by Customer Type'!$A$5:$A$7</c:f>
              <c:strCache>
                <c:ptCount val="3"/>
                <c:pt idx="0">
                  <c:v>Frequent</c:v>
                </c:pt>
                <c:pt idx="1">
                  <c:v>New</c:v>
                </c:pt>
                <c:pt idx="2">
                  <c:v>Regular</c:v>
                </c:pt>
              </c:strCache>
            </c:strRef>
          </c:cat>
          <c:val>
            <c:numRef>
              <c:f>'Feedback by Customer Type'!$B$5:$B$7</c:f>
              <c:numCache>
                <c:formatCode>General</c:formatCode>
                <c:ptCount val="3"/>
                <c:pt idx="0">
                  <c:v>26</c:v>
                </c:pt>
                <c:pt idx="1">
                  <c:v>6</c:v>
                </c:pt>
                <c:pt idx="2">
                  <c:v>39</c:v>
                </c:pt>
              </c:numCache>
            </c:numRef>
          </c:val>
          <c:extLst>
            <c:ext xmlns:c16="http://schemas.microsoft.com/office/drawing/2014/chart" uri="{C3380CC4-5D6E-409C-BE32-E72D297353CC}">
              <c16:uniqueId val="{00000000-6E4F-48EE-8A11-923555ABC1BC}"/>
            </c:ext>
          </c:extLst>
        </c:ser>
        <c:ser>
          <c:idx val="1"/>
          <c:order val="1"/>
          <c:tx>
            <c:strRef>
              <c:f>'Feedback by Customer Type'!$C$3:$C$4</c:f>
              <c:strCache>
                <c:ptCount val="1"/>
                <c:pt idx="0">
                  <c:v>Positive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'Feedback by Customer Type'!$A$5:$A$7</c:f>
              <c:strCache>
                <c:ptCount val="3"/>
                <c:pt idx="0">
                  <c:v>Frequent</c:v>
                </c:pt>
                <c:pt idx="1">
                  <c:v>New</c:v>
                </c:pt>
                <c:pt idx="2">
                  <c:v>Regular</c:v>
                </c:pt>
              </c:strCache>
            </c:strRef>
          </c:cat>
          <c:val>
            <c:numRef>
              <c:f>'Feedback by Customer Type'!$C$5:$C$7</c:f>
              <c:numCache>
                <c:formatCode>General</c:formatCode>
                <c:ptCount val="3"/>
                <c:pt idx="0">
                  <c:v>120</c:v>
                </c:pt>
                <c:pt idx="1">
                  <c:v>18</c:v>
                </c:pt>
                <c:pt idx="2">
                  <c:v>179</c:v>
                </c:pt>
              </c:numCache>
            </c:numRef>
          </c:val>
          <c:extLst>
            <c:ext xmlns:c16="http://schemas.microsoft.com/office/drawing/2014/chart" uri="{C3380CC4-5D6E-409C-BE32-E72D297353CC}">
              <c16:uniqueId val="{00000001-6E4F-48EE-8A11-923555ABC1BC}"/>
            </c:ext>
          </c:extLst>
        </c:ser>
        <c:dLbls>
          <c:showLegendKey val="0"/>
          <c:showVal val="1"/>
          <c:showCatName val="0"/>
          <c:showSerName val="0"/>
          <c:showPercent val="0"/>
          <c:showBubbleSize val="0"/>
        </c:dLbls>
        <c:gapWidth val="182"/>
        <c:axId val="1511442528"/>
        <c:axId val="1511443840"/>
      </c:barChart>
      <c:catAx>
        <c:axId val="151144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511443840"/>
        <c:crosses val="autoZero"/>
        <c:auto val="1"/>
        <c:lblAlgn val="ctr"/>
        <c:lblOffset val="100"/>
        <c:noMultiLvlLbl val="0"/>
      </c:catAx>
      <c:valAx>
        <c:axId val="151144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511442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7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analysis..xlsx]Feedback by Education!PivotTable1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Feedback by Education</a:t>
            </a:r>
          </a:p>
        </c:rich>
      </c:tx>
      <c:layout>
        <c:manualLayout>
          <c:xMode val="edge"/>
          <c:yMode val="edge"/>
          <c:x val="2.7402690943203918E-2"/>
          <c:y val="4.03987001500591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7319351836107819"/>
          <c:y val="0.20153049987861305"/>
          <c:w val="0.65265676180108845"/>
          <c:h val="0.61955489083446791"/>
        </c:manualLayout>
      </c:layout>
      <c:barChart>
        <c:barDir val="bar"/>
        <c:grouping val="clustered"/>
        <c:varyColors val="0"/>
        <c:ser>
          <c:idx val="0"/>
          <c:order val="0"/>
          <c:tx>
            <c:strRef>
              <c:f>'Feedback by Education'!$B$3:$B$4</c:f>
              <c:strCache>
                <c:ptCount val="1"/>
                <c:pt idx="0">
                  <c:v>Negative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'Feedback by Education'!$A$5:$A$9</c:f>
              <c:strCache>
                <c:ptCount val="5"/>
                <c:pt idx="0">
                  <c:v>Graduate</c:v>
                </c:pt>
                <c:pt idx="1">
                  <c:v>Ph.D</c:v>
                </c:pt>
                <c:pt idx="2">
                  <c:v>Post Graduate</c:v>
                </c:pt>
                <c:pt idx="3">
                  <c:v>School</c:v>
                </c:pt>
                <c:pt idx="4">
                  <c:v>Uneducated</c:v>
                </c:pt>
              </c:strCache>
            </c:strRef>
          </c:cat>
          <c:val>
            <c:numRef>
              <c:f>'Feedback by Education'!$B$5:$B$9</c:f>
              <c:numCache>
                <c:formatCode>General</c:formatCode>
                <c:ptCount val="5"/>
                <c:pt idx="0">
                  <c:v>42</c:v>
                </c:pt>
                <c:pt idx="1">
                  <c:v>5</c:v>
                </c:pt>
                <c:pt idx="2">
                  <c:v>20</c:v>
                </c:pt>
                <c:pt idx="3">
                  <c:v>3</c:v>
                </c:pt>
                <c:pt idx="4">
                  <c:v>1</c:v>
                </c:pt>
              </c:numCache>
            </c:numRef>
          </c:val>
          <c:extLst>
            <c:ext xmlns:c16="http://schemas.microsoft.com/office/drawing/2014/chart" uri="{C3380CC4-5D6E-409C-BE32-E72D297353CC}">
              <c16:uniqueId val="{00000000-3F38-45DC-885E-1ED6A740E6CC}"/>
            </c:ext>
          </c:extLst>
        </c:ser>
        <c:ser>
          <c:idx val="1"/>
          <c:order val="1"/>
          <c:tx>
            <c:strRef>
              <c:f>'Feedback by Education'!$C$3:$C$4</c:f>
              <c:strCache>
                <c:ptCount val="1"/>
                <c:pt idx="0">
                  <c:v>Positive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'Feedback by Education'!$A$5:$A$9</c:f>
              <c:strCache>
                <c:ptCount val="5"/>
                <c:pt idx="0">
                  <c:v>Graduate</c:v>
                </c:pt>
                <c:pt idx="1">
                  <c:v>Ph.D</c:v>
                </c:pt>
                <c:pt idx="2">
                  <c:v>Post Graduate</c:v>
                </c:pt>
                <c:pt idx="3">
                  <c:v>School</c:v>
                </c:pt>
                <c:pt idx="4">
                  <c:v>Uneducated</c:v>
                </c:pt>
              </c:strCache>
            </c:strRef>
          </c:cat>
          <c:val>
            <c:numRef>
              <c:f>'Feedback by Education'!$C$5:$C$9</c:f>
              <c:numCache>
                <c:formatCode>General</c:formatCode>
                <c:ptCount val="5"/>
                <c:pt idx="0">
                  <c:v>135</c:v>
                </c:pt>
                <c:pt idx="1">
                  <c:v>18</c:v>
                </c:pt>
                <c:pt idx="2">
                  <c:v>154</c:v>
                </c:pt>
                <c:pt idx="3">
                  <c:v>9</c:v>
                </c:pt>
                <c:pt idx="4">
                  <c:v>1</c:v>
                </c:pt>
              </c:numCache>
            </c:numRef>
          </c:val>
          <c:extLst>
            <c:ext xmlns:c16="http://schemas.microsoft.com/office/drawing/2014/chart" uri="{C3380CC4-5D6E-409C-BE32-E72D297353CC}">
              <c16:uniqueId val="{00000001-3F38-45DC-885E-1ED6A740E6CC}"/>
            </c:ext>
          </c:extLst>
        </c:ser>
        <c:dLbls>
          <c:dLblPos val="outEnd"/>
          <c:showLegendKey val="0"/>
          <c:showVal val="1"/>
          <c:showCatName val="0"/>
          <c:showSerName val="0"/>
          <c:showPercent val="0"/>
          <c:showBubbleSize val="0"/>
        </c:dLbls>
        <c:gapWidth val="182"/>
        <c:axId val="762841592"/>
        <c:axId val="762841920"/>
      </c:barChart>
      <c:catAx>
        <c:axId val="762841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2841920"/>
        <c:crosses val="autoZero"/>
        <c:auto val="1"/>
        <c:lblAlgn val="ctr"/>
        <c:lblOffset val="100"/>
        <c:noMultiLvlLbl val="0"/>
      </c:catAx>
      <c:valAx>
        <c:axId val="762841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2841592"/>
        <c:crosses val="autoZero"/>
        <c:crossBetween val="between"/>
      </c:valAx>
      <c:spPr>
        <a:noFill/>
        <a:ln>
          <a:noFill/>
        </a:ln>
        <a:effectLst/>
      </c:spPr>
    </c:plotArea>
    <c:legend>
      <c:legendPos val="r"/>
      <c:layout>
        <c:manualLayout>
          <c:xMode val="edge"/>
          <c:yMode val="edge"/>
          <c:x val="0.65034191215673864"/>
          <c:y val="3.4099694912896147E-2"/>
          <c:w val="0.33719577733743555"/>
          <c:h val="0.10570125314279467"/>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analysis..xlsx]Avg Family Size by Occupation!PivotTable1</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a:t>Avg Family Size by Occupation</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3315252263225489E-2"/>
          <c:y val="0.16186262136404739"/>
          <c:w val="0.87040825013556666"/>
          <c:h val="0.62242588967175805"/>
        </c:manualLayout>
      </c:layout>
      <c:barChart>
        <c:barDir val="col"/>
        <c:grouping val="clustered"/>
        <c:varyColors val="0"/>
        <c:ser>
          <c:idx val="0"/>
          <c:order val="0"/>
          <c:tx>
            <c:strRef>
              <c:f>'Avg Family Size by Occupation'!$B$3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'Avg Family Size by Occupation'!$A$4:$A$7</c:f>
              <c:strCache>
                <c:ptCount val="4"/>
                <c:pt idx="0">
                  <c:v>Employee</c:v>
                </c:pt>
                <c:pt idx="1">
                  <c:v>House wife</c:v>
                </c:pt>
                <c:pt idx="2">
                  <c:v>Self Employeed</c:v>
                </c:pt>
                <c:pt idx="3">
                  <c:v>Student</c:v>
                </c:pt>
              </c:strCache>
            </c:strRef>
          </c:cat>
          <c:val>
            <c:numRef>
              <c:f>'Avg Family Size by Occupation'!$B$4:$B$7</c:f>
              <c:numCache>
                <c:formatCode>0</c:formatCode>
                <c:ptCount val="4"/>
                <c:pt idx="0">
                  <c:v>3.2796610169491527</c:v>
                </c:pt>
                <c:pt idx="1">
                  <c:v>4.7777777777777777</c:v>
                </c:pt>
                <c:pt idx="2">
                  <c:v>3.5185185185185186</c:v>
                </c:pt>
                <c:pt idx="3">
                  <c:v>3.1545893719806761</c:v>
                </c:pt>
              </c:numCache>
            </c:numRef>
          </c:val>
          <c:extLst>
            <c:ext xmlns:c16="http://schemas.microsoft.com/office/drawing/2014/chart" uri="{C3380CC4-5D6E-409C-BE32-E72D297353CC}">
              <c16:uniqueId val="{00000000-A965-4978-AEEE-F3D140C5B218}"/>
            </c:ext>
          </c:extLst>
        </c:ser>
        <c:dLbls>
          <c:dLblPos val="outEnd"/>
          <c:showLegendKey val="0"/>
          <c:showVal val="1"/>
          <c:showCatName val="0"/>
          <c:showSerName val="0"/>
          <c:showPercent val="0"/>
          <c:showBubbleSize val="0"/>
        </c:dLbls>
        <c:gapWidth val="219"/>
        <c:overlap val="-27"/>
        <c:axId val="273808984"/>
        <c:axId val="273809640"/>
      </c:barChart>
      <c:catAx>
        <c:axId val="273808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3809640"/>
        <c:crosses val="autoZero"/>
        <c:auto val="1"/>
        <c:lblAlgn val="ctr"/>
        <c:lblOffset val="100"/>
        <c:noMultiLvlLbl val="0"/>
      </c:catAx>
      <c:valAx>
        <c:axId val="273809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3808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analysis..xlsx]Overall Output split!PivotTable2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Overall Output split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833333333333334"/>
              <c:y val="-8.33333333333333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5000000000000002"/>
              <c:y val="-1.3888888888888888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833333333333334"/>
              <c:y val="-8.33333333333333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000000000000002"/>
              <c:y val="-1.3888888888888888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3333333333334"/>
              <c:y val="-8.33333333333333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dLbl>
          <c:idx val="0"/>
          <c:layout>
            <c:manualLayout>
              <c:x val="-0.15000000000000002"/>
              <c:y val="-1.3888888888888888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'Overall Output split'!$B$3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26-42A4-96E2-F2851CBDBC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26-42A4-96E2-F2851CBDBC90}"/>
              </c:ext>
            </c:extLst>
          </c:dPt>
          <c:dLbls>
            <c:dLbl>
              <c:idx val="0"/>
              <c:layout>
                <c:manualLayout>
                  <c:x val="0.10833333333333334"/>
                  <c:y val="-8.333333333333337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526-42A4-96E2-F2851CBDBC90}"/>
                </c:ext>
              </c:extLst>
            </c:dLbl>
            <c:dLbl>
              <c:idx val="1"/>
              <c:layout>
                <c:manualLayout>
                  <c:x val="-0.15000000000000002"/>
                  <c:y val="-1.3888888888888888E-2"/>
                </c:manualLayout>
              </c:layou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526-42A4-96E2-F2851CBDBC90}"/>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Output split'!$A$4:$A$5</c:f>
              <c:strCache>
                <c:ptCount val="2"/>
                <c:pt idx="0">
                  <c:v>No</c:v>
                </c:pt>
                <c:pt idx="1">
                  <c:v>Yes</c:v>
                </c:pt>
              </c:strCache>
            </c:strRef>
          </c:cat>
          <c:val>
            <c:numRef>
              <c:f>'Overall Output split'!$B$4:$B$5</c:f>
              <c:numCache>
                <c:formatCode>0%</c:formatCode>
                <c:ptCount val="2"/>
                <c:pt idx="0">
                  <c:v>0.22422680412371135</c:v>
                </c:pt>
                <c:pt idx="1">
                  <c:v>0.77577319587628868</c:v>
                </c:pt>
              </c:numCache>
            </c:numRef>
          </c:val>
          <c:extLst>
            <c:ext xmlns:c16="http://schemas.microsoft.com/office/drawing/2014/chart" uri="{C3380CC4-5D6E-409C-BE32-E72D297353CC}">
              <c16:uniqueId val="{00000004-0526-42A4-96E2-F2851CBDBC9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4762</xdr:colOff>
      <xdr:row>2</xdr:row>
      <xdr:rowOff>14287</xdr:rowOff>
    </xdr:from>
    <xdr:to>
      <xdr:col>12</xdr:col>
      <xdr:colOff>309562</xdr:colOff>
      <xdr:row>16</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747712</xdr:colOff>
      <xdr:row>2</xdr:row>
      <xdr:rowOff>4762</xdr:rowOff>
    </xdr:from>
    <xdr:to>
      <xdr:col>11</xdr:col>
      <xdr:colOff>300037</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14287</xdr:colOff>
      <xdr:row>2</xdr:row>
      <xdr:rowOff>14287</xdr:rowOff>
    </xdr:from>
    <xdr:to>
      <xdr:col>10</xdr:col>
      <xdr:colOff>471487</xdr:colOff>
      <xdr:row>16</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795337</xdr:colOff>
      <xdr:row>2</xdr:row>
      <xdr:rowOff>4762</xdr:rowOff>
    </xdr:from>
    <xdr:to>
      <xdr:col>10</xdr:col>
      <xdr:colOff>452437</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23812</xdr:colOff>
      <xdr:row>2</xdr:row>
      <xdr:rowOff>33337</xdr:rowOff>
    </xdr:from>
    <xdr:to>
      <xdr:col>10</xdr:col>
      <xdr:colOff>366712</xdr:colOff>
      <xdr:row>16</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2</xdr:row>
      <xdr:rowOff>4762</xdr:rowOff>
    </xdr:from>
    <xdr:to>
      <xdr:col>10</xdr:col>
      <xdr:colOff>457200</xdr:colOff>
      <xdr:row>16</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14287</xdr:colOff>
      <xdr:row>1</xdr:row>
      <xdr:rowOff>176212</xdr:rowOff>
    </xdr:from>
    <xdr:to>
      <xdr:col>9</xdr:col>
      <xdr:colOff>471487</xdr:colOff>
      <xdr:row>16</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14288</xdr:colOff>
      <xdr:row>0</xdr:row>
      <xdr:rowOff>176212</xdr:rowOff>
    </xdr:from>
    <xdr:to>
      <xdr:col>8</xdr:col>
      <xdr:colOff>28576</xdr:colOff>
      <xdr:row>14</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52743</xdr:colOff>
      <xdr:row>0</xdr:row>
      <xdr:rowOff>186574</xdr:rowOff>
    </xdr:from>
    <xdr:to>
      <xdr:col>12</xdr:col>
      <xdr:colOff>302269</xdr:colOff>
      <xdr:row>11</xdr:row>
      <xdr:rowOff>82358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333868</xdr:colOff>
      <xdr:row>11</xdr:row>
      <xdr:rowOff>154976</xdr:rowOff>
    </xdr:from>
    <xdr:to>
      <xdr:col>7</xdr:col>
      <xdr:colOff>664169</xdr:colOff>
      <xdr:row>21</xdr:row>
      <xdr:rowOff>154975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343687</xdr:colOff>
      <xdr:row>0</xdr:row>
      <xdr:rowOff>186573</xdr:rowOff>
    </xdr:from>
    <xdr:to>
      <xdr:col>7</xdr:col>
      <xdr:colOff>673988</xdr:colOff>
      <xdr:row>11</xdr:row>
      <xdr:rowOff>105401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42921</xdr:colOff>
      <xdr:row>11</xdr:row>
      <xdr:rowOff>174614</xdr:rowOff>
    </xdr:from>
    <xdr:to>
      <xdr:col>12</xdr:col>
      <xdr:colOff>323173</xdr:colOff>
      <xdr:row>21</xdr:row>
      <xdr:rowOff>166933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324048</xdr:colOff>
      <xdr:row>22</xdr:row>
      <xdr:rowOff>68264</xdr:rowOff>
    </xdr:from>
    <xdr:to>
      <xdr:col>7</xdr:col>
      <xdr:colOff>654350</xdr:colOff>
      <xdr:row>32</xdr:row>
      <xdr:rowOff>170341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42922</xdr:colOff>
      <xdr:row>22</xdr:row>
      <xdr:rowOff>70402</xdr:rowOff>
    </xdr:from>
    <xdr:to>
      <xdr:col>12</xdr:col>
      <xdr:colOff>369264</xdr:colOff>
      <xdr:row>32</xdr:row>
      <xdr:rowOff>157114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405532</xdr:colOff>
      <xdr:row>0</xdr:row>
      <xdr:rowOff>194255</xdr:rowOff>
    </xdr:from>
    <xdr:to>
      <xdr:col>17</xdr:col>
      <xdr:colOff>2376</xdr:colOff>
      <xdr:row>11</xdr:row>
      <xdr:rowOff>90040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403394</xdr:colOff>
      <xdr:row>11</xdr:row>
      <xdr:rowOff>184434</xdr:rowOff>
    </xdr:from>
    <xdr:to>
      <xdr:col>17</xdr:col>
      <xdr:colOff>7919</xdr:colOff>
      <xdr:row>21</xdr:row>
      <xdr:rowOff>113083</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xdr:row>
      <xdr:rowOff>14839</xdr:rowOff>
    </xdr:from>
    <xdr:to>
      <xdr:col>1</xdr:col>
      <xdr:colOff>241540</xdr:colOff>
      <xdr:row>6</xdr:row>
      <xdr:rowOff>117836</xdr:rowOff>
    </xdr:to>
    <mc:AlternateContent xmlns:mc="http://schemas.openxmlformats.org/markup-compatibility/2006">
      <mc:Choice xmlns:a14="http://schemas.microsoft.com/office/drawing/2010/main" Requires="a14">
        <xdr:graphicFrame macro="">
          <xdr:nvGraphicFramePr>
            <xdr:cNvPr id="2"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0" y="211231"/>
              <a:ext cx="928911" cy="1035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165141</xdr:rowOff>
    </xdr:from>
    <xdr:to>
      <xdr:col>1</xdr:col>
      <xdr:colOff>249222</xdr:colOff>
      <xdr:row>11</xdr:row>
      <xdr:rowOff>25579</xdr:rowOff>
    </xdr:to>
    <mc:AlternateContent xmlns:mc="http://schemas.openxmlformats.org/markup-compatibility/2006">
      <mc:Choice xmlns:a14="http://schemas.microsoft.com/office/drawing/2010/main" Requires="a14">
        <xdr:graphicFrame macro="">
          <xdr:nvGraphicFramePr>
            <xdr:cNvPr id="1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294394"/>
              <a:ext cx="936593" cy="793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92523</xdr:rowOff>
    </xdr:from>
    <xdr:to>
      <xdr:col>1</xdr:col>
      <xdr:colOff>272264</xdr:colOff>
      <xdr:row>17</xdr:row>
      <xdr:rowOff>31993</xdr:rowOff>
    </xdr:to>
    <mc:AlternateContent xmlns:mc="http://schemas.openxmlformats.org/markup-compatibility/2006">
      <mc:Choice xmlns:a14="http://schemas.microsoft.com/office/drawing/2010/main" Requires="a14">
        <xdr:graphicFrame macro="">
          <xdr:nvGraphicFramePr>
            <xdr:cNvPr id="12"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2154636"/>
              <a:ext cx="959635" cy="1058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480993</xdr:colOff>
      <xdr:row>1</xdr:row>
      <xdr:rowOff>1612</xdr:rowOff>
    </xdr:from>
    <xdr:to>
      <xdr:col>3</xdr:col>
      <xdr:colOff>231157</xdr:colOff>
      <xdr:row>8</xdr:row>
      <xdr:rowOff>56305</xdr:rowOff>
    </xdr:to>
    <mc:AlternateContent xmlns:mc="http://schemas.openxmlformats.org/markup-compatibility/2006">
      <mc:Choice xmlns:a14="http://schemas.microsoft.com/office/drawing/2010/main" Requires="a14">
        <xdr:graphicFrame macro="">
          <xdr:nvGraphicFramePr>
            <xdr:cNvPr id="13"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168364" y="198004"/>
              <a:ext cx="1124906" cy="1360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473310</xdr:colOff>
      <xdr:row>8</xdr:row>
      <xdr:rowOff>126654</xdr:rowOff>
    </xdr:from>
    <xdr:to>
      <xdr:col>3</xdr:col>
      <xdr:colOff>238838</xdr:colOff>
      <xdr:row>17</xdr:row>
      <xdr:rowOff>66124</xdr:rowOff>
    </xdr:to>
    <mc:AlternateContent xmlns:mc="http://schemas.openxmlformats.org/markup-compatibility/2006">
      <mc:Choice xmlns:a14="http://schemas.microsoft.com/office/drawing/2010/main" Requires="a14">
        <xdr:graphicFrame macro="">
          <xdr:nvGraphicFramePr>
            <xdr:cNvPr id="14" name="Monthly Income"/>
            <xdr:cNvGraphicFramePr/>
          </xdr:nvGraphicFramePr>
          <xdr:xfrm>
            <a:off x="0" y="0"/>
            <a:ext cx="0" cy="0"/>
          </xdr:xfrm>
          <a:graphic>
            <a:graphicData uri="http://schemas.microsoft.com/office/drawing/2010/slicer">
              <sle:slicer xmlns:sle="http://schemas.microsoft.com/office/drawing/2010/slicer" name="Monthly Income"/>
            </a:graphicData>
          </a:graphic>
        </xdr:graphicFrame>
      </mc:Choice>
      <mc:Fallback>
        <xdr:sp macro="" textlink="">
          <xdr:nvSpPr>
            <xdr:cNvPr id="0" name=""/>
            <xdr:cNvSpPr>
              <a:spLocks noTextEdit="1"/>
            </xdr:cNvSpPr>
          </xdr:nvSpPr>
          <xdr:spPr>
            <a:xfrm>
              <a:off x="1160681" y="1629051"/>
              <a:ext cx="1140270" cy="1618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490980</xdr:colOff>
      <xdr:row>17</xdr:row>
      <xdr:rowOff>140750</xdr:rowOff>
    </xdr:from>
    <xdr:to>
      <xdr:col>3</xdr:col>
      <xdr:colOff>233463</xdr:colOff>
      <xdr:row>26</xdr:row>
      <xdr:rowOff>34130</xdr:rowOff>
    </xdr:to>
    <mc:AlternateContent xmlns:mc="http://schemas.openxmlformats.org/markup-compatibility/2006">
      <mc:Choice xmlns:a14="http://schemas.microsoft.com/office/drawing/2010/main" Requires="a14">
        <xdr:graphicFrame macro="">
          <xdr:nvGraphicFramePr>
            <xdr:cNvPr id="15" name="Educational Qualifications"/>
            <xdr:cNvGraphicFramePr/>
          </xdr:nvGraphicFramePr>
          <xdr:xfrm>
            <a:off x="0" y="0"/>
            <a:ext cx="0" cy="0"/>
          </xdr:xfrm>
          <a:graphic>
            <a:graphicData uri="http://schemas.microsoft.com/office/drawing/2010/slicer">
              <sle:slicer xmlns:sle="http://schemas.microsoft.com/office/drawing/2010/slicer" name="Educational Qualifications"/>
            </a:graphicData>
          </a:graphic>
        </xdr:graphicFrame>
      </mc:Choice>
      <mc:Fallback>
        <xdr:sp macro="" textlink="">
          <xdr:nvSpPr>
            <xdr:cNvPr id="0" name=""/>
            <xdr:cNvSpPr>
              <a:spLocks noTextEdit="1"/>
            </xdr:cNvSpPr>
          </xdr:nvSpPr>
          <xdr:spPr>
            <a:xfrm>
              <a:off x="1178351" y="3322296"/>
              <a:ext cx="1117225" cy="1572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84843</xdr:rowOff>
    </xdr:from>
    <xdr:to>
      <xdr:col>1</xdr:col>
      <xdr:colOff>256903</xdr:colOff>
      <xdr:row>22</xdr:row>
      <xdr:rowOff>180158</xdr:rowOff>
    </xdr:to>
    <mc:AlternateContent xmlns:mc="http://schemas.openxmlformats.org/markup-compatibility/2006">
      <mc:Choice xmlns:a14="http://schemas.microsoft.com/office/drawing/2010/main" Requires="a14">
        <xdr:graphicFrame macro="">
          <xdr:nvGraphicFramePr>
            <xdr:cNvPr id="16"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0" y="3266389"/>
              <a:ext cx="944274" cy="102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alela" refreshedDate="46277.534646643522" createdVersion="6" refreshedVersion="6" minRefreshableVersion="3" recordCount="388">
  <cacheSource type="worksheet">
    <worksheetSource ref="A1:O389" sheet="online food delivery dataset"/>
  </cacheSource>
  <cacheFields count="15">
    <cacheField name="Age" numFmtId="0">
      <sharedItems containsSemiMixedTypes="0" containsString="0" containsNumber="1" containsInteger="1" minValue="18" maxValue="33"/>
    </cacheField>
    <cacheField name="Age group" numFmtId="0">
      <sharedItems count="3">
        <s v="18-24"/>
        <s v="25-29"/>
        <s v="30-33"/>
      </sharedItems>
    </cacheField>
    <cacheField name="Gender" numFmtId="0">
      <sharedItems count="2">
        <s v="Female"/>
        <s v="Male"/>
      </sharedItems>
    </cacheField>
    <cacheField name="Marital Status" numFmtId="0">
      <sharedItems count="3">
        <s v="Single"/>
        <s v="Married"/>
        <s v="Prefer not to say"/>
      </sharedItems>
    </cacheField>
    <cacheField name="Occupation" numFmtId="0">
      <sharedItems count="4">
        <s v="Student"/>
        <s v="Employee"/>
        <s v="Self Employeed"/>
        <s v="House wife"/>
      </sharedItems>
    </cacheField>
    <cacheField name="Monthly Income" numFmtId="0">
      <sharedItems count="5">
        <s v="No Income"/>
        <s v="Below Rs.10000"/>
        <s v="More than 50000"/>
        <s v="10001 to 25000"/>
        <s v="25001 to 50000"/>
      </sharedItems>
    </cacheField>
    <cacheField name="Educational Qualifications" numFmtId="0">
      <sharedItems count="5">
        <s v="Post Graduate"/>
        <s v="Graduate"/>
        <s v="Ph.D"/>
        <s v="Uneducated"/>
        <s v="School"/>
      </sharedItems>
    </cacheField>
    <cacheField name="Family size" numFmtId="0">
      <sharedItems containsSemiMixedTypes="0" containsString="0" containsNumber="1" containsInteger="1" minValue="1" maxValue="6"/>
    </cacheField>
    <cacheField name="Customer Type" numFmtId="0">
      <sharedItems count="3">
        <s v="Frequent"/>
        <s v="Regular"/>
        <s v="New"/>
      </sharedItems>
    </cacheField>
    <cacheField name="latitude" numFmtId="0">
      <sharedItems containsSemiMixedTypes="0" containsString="0" containsNumber="1" minValue="12.8652" maxValue="13.102"/>
    </cacheField>
    <cacheField name="longitude" numFmtId="0">
      <sharedItems containsSemiMixedTypes="0" containsString="0" containsNumber="1" minValue="77.484200000000001" maxValue="77.758200000000002"/>
    </cacheField>
    <cacheField name="Pin code" numFmtId="0">
      <sharedItems containsSemiMixedTypes="0" containsString="0" containsNumber="1" containsInteger="1" minValue="560001" maxValue="560109"/>
    </cacheField>
    <cacheField name="Output" numFmtId="0">
      <sharedItems count="2">
        <s v="Yes"/>
        <s v="No"/>
      </sharedItems>
    </cacheField>
    <cacheField name="Feedback" numFmtId="0">
      <sharedItems count="2">
        <s v="Positive"/>
        <s v="Negative "/>
      </sharedItems>
    </cacheField>
    <cacheField name="Customer Segment" numFmtId="0">
      <sharedItems count="3">
        <s v="Loyal Customer"/>
        <s v="Churned &amp; Unhappy"/>
        <s v="Lost Potential"/>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88">
  <r>
    <n v="20"/>
    <x v="0"/>
    <x v="0"/>
    <x v="0"/>
    <x v="0"/>
    <x v="0"/>
    <x v="0"/>
    <n v="4"/>
    <x v="0"/>
    <n v="12.976599999999999"/>
    <n v="77.599299999999999"/>
    <n v="560001"/>
    <x v="0"/>
    <x v="0"/>
    <x v="0"/>
  </r>
  <r>
    <n v="24"/>
    <x v="0"/>
    <x v="0"/>
    <x v="0"/>
    <x v="0"/>
    <x v="1"/>
    <x v="1"/>
    <n v="3"/>
    <x v="1"/>
    <n v="12.977"/>
    <n v="77.577299999999994"/>
    <n v="560009"/>
    <x v="0"/>
    <x v="0"/>
    <x v="0"/>
  </r>
  <r>
    <n v="22"/>
    <x v="0"/>
    <x v="1"/>
    <x v="0"/>
    <x v="0"/>
    <x v="1"/>
    <x v="0"/>
    <n v="3"/>
    <x v="1"/>
    <n v="12.9551"/>
    <n v="77.659300000000002"/>
    <n v="560017"/>
    <x v="0"/>
    <x v="1"/>
    <x v="1"/>
  </r>
  <r>
    <n v="22"/>
    <x v="0"/>
    <x v="0"/>
    <x v="0"/>
    <x v="0"/>
    <x v="0"/>
    <x v="1"/>
    <n v="6"/>
    <x v="0"/>
    <n v="12.9473"/>
    <n v="77.561599999999999"/>
    <n v="560019"/>
    <x v="0"/>
    <x v="0"/>
    <x v="0"/>
  </r>
  <r>
    <n v="22"/>
    <x v="0"/>
    <x v="1"/>
    <x v="0"/>
    <x v="0"/>
    <x v="1"/>
    <x v="0"/>
    <n v="4"/>
    <x v="0"/>
    <n v="12.984999999999999"/>
    <n v="77.553299999999993"/>
    <n v="560010"/>
    <x v="0"/>
    <x v="0"/>
    <x v="0"/>
  </r>
  <r>
    <n v="27"/>
    <x v="1"/>
    <x v="0"/>
    <x v="1"/>
    <x v="1"/>
    <x v="2"/>
    <x v="0"/>
    <n v="2"/>
    <x v="1"/>
    <n v="12.9299"/>
    <n v="77.684799999999996"/>
    <n v="560103"/>
    <x v="0"/>
    <x v="0"/>
    <x v="0"/>
  </r>
  <r>
    <n v="22"/>
    <x v="0"/>
    <x v="1"/>
    <x v="0"/>
    <x v="0"/>
    <x v="0"/>
    <x v="1"/>
    <n v="3"/>
    <x v="1"/>
    <n v="12.977"/>
    <n v="77.577299999999994"/>
    <n v="560009"/>
    <x v="0"/>
    <x v="0"/>
    <x v="0"/>
  </r>
  <r>
    <n v="24"/>
    <x v="0"/>
    <x v="0"/>
    <x v="0"/>
    <x v="0"/>
    <x v="0"/>
    <x v="0"/>
    <n v="3"/>
    <x v="1"/>
    <n v="12.982799999999999"/>
    <n v="77.613100000000003"/>
    <n v="560042"/>
    <x v="0"/>
    <x v="0"/>
    <x v="0"/>
  </r>
  <r>
    <n v="23"/>
    <x v="0"/>
    <x v="0"/>
    <x v="0"/>
    <x v="0"/>
    <x v="0"/>
    <x v="0"/>
    <n v="2"/>
    <x v="1"/>
    <n v="12.976599999999999"/>
    <n v="77.599299999999999"/>
    <n v="560001"/>
    <x v="0"/>
    <x v="0"/>
    <x v="0"/>
  </r>
  <r>
    <n v="23"/>
    <x v="0"/>
    <x v="0"/>
    <x v="0"/>
    <x v="0"/>
    <x v="0"/>
    <x v="0"/>
    <n v="4"/>
    <x v="0"/>
    <n v="12.9854"/>
    <n v="77.708100000000002"/>
    <n v="560048"/>
    <x v="0"/>
    <x v="0"/>
    <x v="0"/>
  </r>
  <r>
    <n v="22"/>
    <x v="0"/>
    <x v="0"/>
    <x v="0"/>
    <x v="0"/>
    <x v="0"/>
    <x v="0"/>
    <n v="5"/>
    <x v="0"/>
    <n v="12.984999999999999"/>
    <n v="77.553299999999993"/>
    <n v="560010"/>
    <x v="0"/>
    <x v="0"/>
    <x v="0"/>
  </r>
  <r>
    <n v="23"/>
    <x v="0"/>
    <x v="1"/>
    <x v="0"/>
    <x v="0"/>
    <x v="1"/>
    <x v="0"/>
    <n v="2"/>
    <x v="1"/>
    <n v="12.977"/>
    <n v="77.577299999999994"/>
    <n v="560009"/>
    <x v="0"/>
    <x v="1"/>
    <x v="1"/>
  </r>
  <r>
    <n v="23"/>
    <x v="0"/>
    <x v="1"/>
    <x v="0"/>
    <x v="0"/>
    <x v="0"/>
    <x v="0"/>
    <n v="5"/>
    <x v="0"/>
    <n v="12.8988"/>
    <n v="77.576400000000007"/>
    <n v="560078"/>
    <x v="0"/>
    <x v="0"/>
    <x v="0"/>
  </r>
  <r>
    <n v="21"/>
    <x v="0"/>
    <x v="1"/>
    <x v="0"/>
    <x v="0"/>
    <x v="0"/>
    <x v="1"/>
    <n v="4"/>
    <x v="0"/>
    <n v="12.977"/>
    <n v="77.577299999999994"/>
    <n v="560009"/>
    <x v="0"/>
    <x v="0"/>
    <x v="0"/>
  </r>
  <r>
    <n v="23"/>
    <x v="0"/>
    <x v="0"/>
    <x v="0"/>
    <x v="2"/>
    <x v="3"/>
    <x v="0"/>
    <n v="5"/>
    <x v="0"/>
    <n v="12.9438"/>
    <n v="77.573800000000006"/>
    <n v="560004"/>
    <x v="0"/>
    <x v="0"/>
    <x v="0"/>
  </r>
  <r>
    <n v="24"/>
    <x v="0"/>
    <x v="0"/>
    <x v="0"/>
    <x v="0"/>
    <x v="0"/>
    <x v="0"/>
    <n v="6"/>
    <x v="0"/>
    <n v="12.8893"/>
    <n v="77.639899999999997"/>
    <n v="560068"/>
    <x v="0"/>
    <x v="0"/>
    <x v="0"/>
  </r>
  <r>
    <n v="28"/>
    <x v="1"/>
    <x v="0"/>
    <x v="0"/>
    <x v="1"/>
    <x v="4"/>
    <x v="0"/>
    <n v="2"/>
    <x v="1"/>
    <n v="12.978300000000001"/>
    <n v="77.640799999999999"/>
    <n v="560038"/>
    <x v="0"/>
    <x v="0"/>
    <x v="0"/>
  </r>
  <r>
    <n v="23"/>
    <x v="0"/>
    <x v="0"/>
    <x v="0"/>
    <x v="0"/>
    <x v="0"/>
    <x v="1"/>
    <n v="3"/>
    <x v="1"/>
    <n v="12.981999999999999"/>
    <n v="77.625600000000006"/>
    <n v="560008"/>
    <x v="0"/>
    <x v="1"/>
    <x v="1"/>
  </r>
  <r>
    <n v="25"/>
    <x v="1"/>
    <x v="1"/>
    <x v="0"/>
    <x v="0"/>
    <x v="0"/>
    <x v="1"/>
    <n v="4"/>
    <x v="0"/>
    <n v="12.8988"/>
    <n v="77.576400000000007"/>
    <n v="560078"/>
    <x v="0"/>
    <x v="1"/>
    <x v="1"/>
  </r>
  <r>
    <n v="21"/>
    <x v="0"/>
    <x v="0"/>
    <x v="0"/>
    <x v="0"/>
    <x v="1"/>
    <x v="0"/>
    <n v="1"/>
    <x v="2"/>
    <n v="12.978300000000001"/>
    <n v="77.640799999999999"/>
    <n v="560038"/>
    <x v="0"/>
    <x v="0"/>
    <x v="0"/>
  </r>
  <r>
    <n v="24"/>
    <x v="0"/>
    <x v="1"/>
    <x v="0"/>
    <x v="0"/>
    <x v="0"/>
    <x v="0"/>
    <n v="3"/>
    <x v="1"/>
    <n v="12.977"/>
    <n v="77.577299999999994"/>
    <n v="560009"/>
    <x v="0"/>
    <x v="0"/>
    <x v="0"/>
  </r>
  <r>
    <n v="22"/>
    <x v="0"/>
    <x v="1"/>
    <x v="0"/>
    <x v="0"/>
    <x v="0"/>
    <x v="0"/>
    <n v="4"/>
    <x v="0"/>
    <n v="13.0298"/>
    <n v="77.604699999999994"/>
    <n v="560032"/>
    <x v="0"/>
    <x v="0"/>
    <x v="0"/>
  </r>
  <r>
    <n v="22"/>
    <x v="0"/>
    <x v="0"/>
    <x v="0"/>
    <x v="0"/>
    <x v="0"/>
    <x v="1"/>
    <n v="4"/>
    <x v="0"/>
    <n v="12.9983"/>
    <n v="77.640900000000002"/>
    <n v="560033"/>
    <x v="0"/>
    <x v="0"/>
    <x v="0"/>
  </r>
  <r>
    <n v="23"/>
    <x v="0"/>
    <x v="1"/>
    <x v="0"/>
    <x v="0"/>
    <x v="0"/>
    <x v="1"/>
    <n v="4"/>
    <x v="0"/>
    <n v="12.9925"/>
    <n v="77.563299999999998"/>
    <n v="560021"/>
    <x v="0"/>
    <x v="0"/>
    <x v="0"/>
  </r>
  <r>
    <n v="21"/>
    <x v="0"/>
    <x v="1"/>
    <x v="0"/>
    <x v="0"/>
    <x v="1"/>
    <x v="0"/>
    <n v="3"/>
    <x v="1"/>
    <n v="12.9306"/>
    <n v="77.543400000000005"/>
    <n v="560085"/>
    <x v="0"/>
    <x v="0"/>
    <x v="0"/>
  </r>
  <r>
    <n v="25"/>
    <x v="1"/>
    <x v="1"/>
    <x v="0"/>
    <x v="0"/>
    <x v="0"/>
    <x v="0"/>
    <n v="3"/>
    <x v="1"/>
    <n v="12.981999999999999"/>
    <n v="77.625600000000006"/>
    <n v="560008"/>
    <x v="0"/>
    <x v="0"/>
    <x v="0"/>
  </r>
  <r>
    <n v="22"/>
    <x v="0"/>
    <x v="0"/>
    <x v="0"/>
    <x v="0"/>
    <x v="0"/>
    <x v="0"/>
    <n v="5"/>
    <x v="0"/>
    <n v="12.9353"/>
    <n v="77.558499999999995"/>
    <n v="560050"/>
    <x v="0"/>
    <x v="0"/>
    <x v="0"/>
  </r>
  <r>
    <n v="22"/>
    <x v="0"/>
    <x v="1"/>
    <x v="0"/>
    <x v="0"/>
    <x v="0"/>
    <x v="0"/>
    <n v="3"/>
    <x v="1"/>
    <n v="12.9155"/>
    <n v="77.513499999999993"/>
    <n v="560098"/>
    <x v="0"/>
    <x v="0"/>
    <x v="0"/>
  </r>
  <r>
    <n v="23"/>
    <x v="0"/>
    <x v="0"/>
    <x v="0"/>
    <x v="1"/>
    <x v="3"/>
    <x v="1"/>
    <n v="3"/>
    <x v="1"/>
    <n v="12.9854"/>
    <n v="77.708100000000002"/>
    <n v="560048"/>
    <x v="0"/>
    <x v="0"/>
    <x v="0"/>
  </r>
  <r>
    <n v="22"/>
    <x v="0"/>
    <x v="1"/>
    <x v="0"/>
    <x v="0"/>
    <x v="1"/>
    <x v="0"/>
    <n v="4"/>
    <x v="0"/>
    <n v="13.001899999999999"/>
    <n v="77.571299999999994"/>
    <n v="560003"/>
    <x v="0"/>
    <x v="0"/>
    <x v="0"/>
  </r>
  <r>
    <n v="22"/>
    <x v="0"/>
    <x v="0"/>
    <x v="0"/>
    <x v="1"/>
    <x v="3"/>
    <x v="1"/>
    <n v="5"/>
    <x v="0"/>
    <n v="12.969799999999999"/>
    <n v="77.75"/>
    <n v="560066"/>
    <x v="0"/>
    <x v="0"/>
    <x v="0"/>
  </r>
  <r>
    <n v="22"/>
    <x v="0"/>
    <x v="1"/>
    <x v="0"/>
    <x v="0"/>
    <x v="0"/>
    <x v="0"/>
    <n v="4"/>
    <x v="0"/>
    <n v="12.978300000000001"/>
    <n v="77.640799999999999"/>
    <n v="560038"/>
    <x v="0"/>
    <x v="0"/>
    <x v="0"/>
  </r>
  <r>
    <n v="25"/>
    <x v="1"/>
    <x v="1"/>
    <x v="1"/>
    <x v="1"/>
    <x v="2"/>
    <x v="2"/>
    <n v="4"/>
    <x v="0"/>
    <n v="12.9261"/>
    <n v="77.622100000000003"/>
    <n v="560034"/>
    <x v="0"/>
    <x v="0"/>
    <x v="0"/>
  </r>
  <r>
    <n v="22"/>
    <x v="0"/>
    <x v="0"/>
    <x v="0"/>
    <x v="0"/>
    <x v="3"/>
    <x v="0"/>
    <n v="5"/>
    <x v="0"/>
    <n v="12.984999999999999"/>
    <n v="77.553299999999993"/>
    <n v="560010"/>
    <x v="0"/>
    <x v="0"/>
    <x v="0"/>
  </r>
  <r>
    <n v="22"/>
    <x v="0"/>
    <x v="0"/>
    <x v="0"/>
    <x v="0"/>
    <x v="0"/>
    <x v="0"/>
    <n v="2"/>
    <x v="1"/>
    <n v="12.911899999999999"/>
    <n v="77.644599999999997"/>
    <n v="560102"/>
    <x v="0"/>
    <x v="0"/>
    <x v="0"/>
  </r>
  <r>
    <n v="25"/>
    <x v="1"/>
    <x v="1"/>
    <x v="0"/>
    <x v="0"/>
    <x v="3"/>
    <x v="0"/>
    <n v="3"/>
    <x v="1"/>
    <n v="12.9306"/>
    <n v="77.543400000000005"/>
    <n v="560085"/>
    <x v="0"/>
    <x v="0"/>
    <x v="0"/>
  </r>
  <r>
    <n v="25"/>
    <x v="1"/>
    <x v="1"/>
    <x v="0"/>
    <x v="0"/>
    <x v="0"/>
    <x v="0"/>
    <n v="5"/>
    <x v="0"/>
    <n v="12.977"/>
    <n v="77.577299999999994"/>
    <n v="560009"/>
    <x v="1"/>
    <x v="0"/>
    <x v="2"/>
  </r>
  <r>
    <n v="32"/>
    <x v="2"/>
    <x v="0"/>
    <x v="2"/>
    <x v="3"/>
    <x v="0"/>
    <x v="1"/>
    <n v="5"/>
    <x v="0"/>
    <n v="12.981999999999999"/>
    <n v="77.625600000000006"/>
    <n v="560008"/>
    <x v="0"/>
    <x v="1"/>
    <x v="1"/>
  </r>
  <r>
    <n v="23"/>
    <x v="0"/>
    <x v="0"/>
    <x v="0"/>
    <x v="0"/>
    <x v="0"/>
    <x v="0"/>
    <n v="3"/>
    <x v="1"/>
    <n v="12.9438"/>
    <n v="77.573800000000006"/>
    <n v="560004"/>
    <x v="0"/>
    <x v="0"/>
    <x v="0"/>
  </r>
  <r>
    <n v="23"/>
    <x v="0"/>
    <x v="0"/>
    <x v="0"/>
    <x v="0"/>
    <x v="0"/>
    <x v="0"/>
    <n v="4"/>
    <x v="0"/>
    <n v="12.8988"/>
    <n v="77.576400000000007"/>
    <n v="560078"/>
    <x v="0"/>
    <x v="0"/>
    <x v="0"/>
  </r>
  <r>
    <n v="30"/>
    <x v="2"/>
    <x v="1"/>
    <x v="1"/>
    <x v="2"/>
    <x v="2"/>
    <x v="3"/>
    <n v="4"/>
    <x v="0"/>
    <n v="12.966200000000001"/>
    <n v="77.606800000000007"/>
    <n v="560025"/>
    <x v="0"/>
    <x v="1"/>
    <x v="1"/>
  </r>
  <r>
    <n v="23"/>
    <x v="0"/>
    <x v="1"/>
    <x v="0"/>
    <x v="0"/>
    <x v="0"/>
    <x v="1"/>
    <n v="3"/>
    <x v="1"/>
    <n v="12.9565"/>
    <n v="77.548400000000001"/>
    <n v="560026"/>
    <x v="0"/>
    <x v="0"/>
    <x v="0"/>
  </r>
  <r>
    <n v="23"/>
    <x v="0"/>
    <x v="1"/>
    <x v="0"/>
    <x v="0"/>
    <x v="0"/>
    <x v="0"/>
    <n v="4"/>
    <x v="0"/>
    <n v="12.9925"/>
    <n v="77.563299999999998"/>
    <n v="560021"/>
    <x v="0"/>
    <x v="0"/>
    <x v="0"/>
  </r>
  <r>
    <n v="22"/>
    <x v="0"/>
    <x v="0"/>
    <x v="0"/>
    <x v="0"/>
    <x v="0"/>
    <x v="0"/>
    <n v="5"/>
    <x v="0"/>
    <n v="12.984999999999999"/>
    <n v="77.553299999999993"/>
    <n v="560010"/>
    <x v="0"/>
    <x v="0"/>
    <x v="0"/>
  </r>
  <r>
    <n v="22"/>
    <x v="0"/>
    <x v="1"/>
    <x v="0"/>
    <x v="0"/>
    <x v="0"/>
    <x v="1"/>
    <n v="5"/>
    <x v="0"/>
    <n v="12.984999999999999"/>
    <n v="77.553299999999993"/>
    <n v="560010"/>
    <x v="0"/>
    <x v="0"/>
    <x v="0"/>
  </r>
  <r>
    <n v="27"/>
    <x v="1"/>
    <x v="0"/>
    <x v="1"/>
    <x v="2"/>
    <x v="3"/>
    <x v="0"/>
    <n v="2"/>
    <x v="1"/>
    <n v="12.9261"/>
    <n v="77.622100000000003"/>
    <n v="560034"/>
    <x v="0"/>
    <x v="0"/>
    <x v="0"/>
  </r>
  <r>
    <n v="24"/>
    <x v="0"/>
    <x v="0"/>
    <x v="0"/>
    <x v="0"/>
    <x v="0"/>
    <x v="0"/>
    <n v="3"/>
    <x v="1"/>
    <n v="12.977"/>
    <n v="77.577299999999994"/>
    <n v="560009"/>
    <x v="0"/>
    <x v="0"/>
    <x v="0"/>
  </r>
  <r>
    <n v="23"/>
    <x v="0"/>
    <x v="1"/>
    <x v="0"/>
    <x v="0"/>
    <x v="0"/>
    <x v="0"/>
    <n v="2"/>
    <x v="1"/>
    <n v="12.977"/>
    <n v="77.577299999999994"/>
    <n v="560009"/>
    <x v="0"/>
    <x v="0"/>
    <x v="0"/>
  </r>
  <r>
    <n v="23"/>
    <x v="0"/>
    <x v="0"/>
    <x v="0"/>
    <x v="0"/>
    <x v="0"/>
    <x v="1"/>
    <n v="3"/>
    <x v="1"/>
    <n v="12.981999999999999"/>
    <n v="77.625600000000006"/>
    <n v="560008"/>
    <x v="0"/>
    <x v="1"/>
    <x v="1"/>
  </r>
  <r>
    <n v="22"/>
    <x v="0"/>
    <x v="0"/>
    <x v="0"/>
    <x v="0"/>
    <x v="3"/>
    <x v="0"/>
    <n v="5"/>
    <x v="0"/>
    <n v="12.984999999999999"/>
    <n v="77.553299999999993"/>
    <n v="560010"/>
    <x v="0"/>
    <x v="0"/>
    <x v="0"/>
  </r>
  <r>
    <n v="23"/>
    <x v="0"/>
    <x v="0"/>
    <x v="0"/>
    <x v="0"/>
    <x v="0"/>
    <x v="1"/>
    <n v="5"/>
    <x v="0"/>
    <n v="13.0206"/>
    <n v="77.647900000000007"/>
    <n v="560043"/>
    <x v="0"/>
    <x v="0"/>
    <x v="0"/>
  </r>
  <r>
    <n v="23"/>
    <x v="0"/>
    <x v="0"/>
    <x v="0"/>
    <x v="0"/>
    <x v="0"/>
    <x v="0"/>
    <n v="2"/>
    <x v="1"/>
    <n v="12.977"/>
    <n v="77.577299999999994"/>
    <n v="560009"/>
    <x v="0"/>
    <x v="0"/>
    <x v="0"/>
  </r>
  <r>
    <n v="24"/>
    <x v="0"/>
    <x v="1"/>
    <x v="0"/>
    <x v="0"/>
    <x v="0"/>
    <x v="0"/>
    <n v="3"/>
    <x v="1"/>
    <n v="12.977"/>
    <n v="77.577299999999994"/>
    <n v="560009"/>
    <x v="0"/>
    <x v="0"/>
    <x v="0"/>
  </r>
  <r>
    <n v="25"/>
    <x v="1"/>
    <x v="1"/>
    <x v="0"/>
    <x v="0"/>
    <x v="0"/>
    <x v="0"/>
    <n v="2"/>
    <x v="1"/>
    <n v="12.9635"/>
    <n v="77.582099999999997"/>
    <n v="560002"/>
    <x v="0"/>
    <x v="0"/>
    <x v="0"/>
  </r>
  <r>
    <n v="22"/>
    <x v="0"/>
    <x v="1"/>
    <x v="0"/>
    <x v="0"/>
    <x v="0"/>
    <x v="0"/>
    <n v="3"/>
    <x v="1"/>
    <n v="12.9306"/>
    <n v="77.543400000000005"/>
    <n v="560085"/>
    <x v="0"/>
    <x v="0"/>
    <x v="0"/>
  </r>
  <r>
    <n v="28"/>
    <x v="1"/>
    <x v="0"/>
    <x v="1"/>
    <x v="0"/>
    <x v="0"/>
    <x v="1"/>
    <n v="2"/>
    <x v="1"/>
    <n v="13.0067"/>
    <n v="77.545000000000002"/>
    <n v="560086"/>
    <x v="0"/>
    <x v="0"/>
    <x v="0"/>
  </r>
  <r>
    <n v="22"/>
    <x v="0"/>
    <x v="0"/>
    <x v="0"/>
    <x v="0"/>
    <x v="0"/>
    <x v="0"/>
    <n v="1"/>
    <x v="2"/>
    <n v="12.884499999999999"/>
    <n v="77.6036"/>
    <n v="560076"/>
    <x v="0"/>
    <x v="0"/>
    <x v="0"/>
  </r>
  <r>
    <n v="24"/>
    <x v="0"/>
    <x v="0"/>
    <x v="0"/>
    <x v="0"/>
    <x v="0"/>
    <x v="1"/>
    <n v="3"/>
    <x v="1"/>
    <n v="12.977"/>
    <n v="77.577299999999994"/>
    <n v="560009"/>
    <x v="0"/>
    <x v="0"/>
    <x v="0"/>
  </r>
  <r>
    <n v="31"/>
    <x v="2"/>
    <x v="1"/>
    <x v="1"/>
    <x v="1"/>
    <x v="2"/>
    <x v="2"/>
    <n v="5"/>
    <x v="0"/>
    <n v="12.911899999999999"/>
    <n v="77.644599999999997"/>
    <n v="560102"/>
    <x v="0"/>
    <x v="0"/>
    <x v="0"/>
  </r>
  <r>
    <n v="25"/>
    <x v="1"/>
    <x v="1"/>
    <x v="0"/>
    <x v="0"/>
    <x v="0"/>
    <x v="0"/>
    <n v="4"/>
    <x v="0"/>
    <n v="13.0067"/>
    <n v="77.545000000000002"/>
    <n v="560086"/>
    <x v="0"/>
    <x v="0"/>
    <x v="0"/>
  </r>
  <r>
    <n v="23"/>
    <x v="0"/>
    <x v="1"/>
    <x v="0"/>
    <x v="0"/>
    <x v="0"/>
    <x v="0"/>
    <n v="5"/>
    <x v="0"/>
    <n v="12.8988"/>
    <n v="77.576400000000007"/>
    <n v="560078"/>
    <x v="0"/>
    <x v="0"/>
    <x v="0"/>
  </r>
  <r>
    <n v="22"/>
    <x v="0"/>
    <x v="1"/>
    <x v="0"/>
    <x v="0"/>
    <x v="0"/>
    <x v="0"/>
    <n v="3"/>
    <x v="1"/>
    <n v="12.884499999999999"/>
    <n v="77.6036"/>
    <n v="560076"/>
    <x v="0"/>
    <x v="0"/>
    <x v="0"/>
  </r>
  <r>
    <n v="23"/>
    <x v="0"/>
    <x v="1"/>
    <x v="0"/>
    <x v="0"/>
    <x v="4"/>
    <x v="0"/>
    <n v="1"/>
    <x v="2"/>
    <n v="13.0158"/>
    <n v="77.539000000000001"/>
    <n v="560096"/>
    <x v="0"/>
    <x v="0"/>
    <x v="0"/>
  </r>
  <r>
    <n v="23"/>
    <x v="0"/>
    <x v="1"/>
    <x v="0"/>
    <x v="0"/>
    <x v="0"/>
    <x v="1"/>
    <n v="4"/>
    <x v="0"/>
    <n v="12.9343"/>
    <n v="77.604399999999998"/>
    <n v="560029"/>
    <x v="0"/>
    <x v="0"/>
    <x v="0"/>
  </r>
  <r>
    <n v="23"/>
    <x v="0"/>
    <x v="0"/>
    <x v="0"/>
    <x v="0"/>
    <x v="0"/>
    <x v="0"/>
    <n v="2"/>
    <x v="1"/>
    <n v="13.001899999999999"/>
    <n v="77.571299999999994"/>
    <n v="560003"/>
    <x v="0"/>
    <x v="0"/>
    <x v="0"/>
  </r>
  <r>
    <n v="25"/>
    <x v="1"/>
    <x v="1"/>
    <x v="0"/>
    <x v="0"/>
    <x v="0"/>
    <x v="0"/>
    <n v="6"/>
    <x v="0"/>
    <n v="13.001200000000001"/>
    <n v="77.599500000000006"/>
    <n v="560046"/>
    <x v="0"/>
    <x v="0"/>
    <x v="0"/>
  </r>
  <r>
    <n v="24"/>
    <x v="0"/>
    <x v="1"/>
    <x v="0"/>
    <x v="1"/>
    <x v="3"/>
    <x v="1"/>
    <n v="4"/>
    <x v="0"/>
    <n v="12.9442"/>
    <n v="77.607600000000005"/>
    <n v="560030"/>
    <x v="0"/>
    <x v="0"/>
    <x v="0"/>
  </r>
  <r>
    <n v="23"/>
    <x v="0"/>
    <x v="0"/>
    <x v="0"/>
    <x v="0"/>
    <x v="0"/>
    <x v="0"/>
    <n v="4"/>
    <x v="0"/>
    <n v="13.0487"/>
    <n v="77.592299999999994"/>
    <n v="560024"/>
    <x v="0"/>
    <x v="0"/>
    <x v="0"/>
  </r>
  <r>
    <n v="23"/>
    <x v="0"/>
    <x v="0"/>
    <x v="0"/>
    <x v="0"/>
    <x v="0"/>
    <x v="0"/>
    <n v="4"/>
    <x v="0"/>
    <n v="13.0487"/>
    <n v="77.592299999999994"/>
    <n v="560024"/>
    <x v="0"/>
    <x v="0"/>
    <x v="0"/>
  </r>
  <r>
    <n v="24"/>
    <x v="0"/>
    <x v="0"/>
    <x v="1"/>
    <x v="1"/>
    <x v="2"/>
    <x v="2"/>
    <n v="4"/>
    <x v="0"/>
    <n v="12.9438"/>
    <n v="77.573800000000006"/>
    <n v="560004"/>
    <x v="0"/>
    <x v="0"/>
    <x v="0"/>
  </r>
  <r>
    <n v="22"/>
    <x v="0"/>
    <x v="1"/>
    <x v="0"/>
    <x v="0"/>
    <x v="0"/>
    <x v="1"/>
    <n v="4"/>
    <x v="0"/>
    <n v="12.988899999999999"/>
    <n v="77.574100000000001"/>
    <n v="560020"/>
    <x v="0"/>
    <x v="0"/>
    <x v="0"/>
  </r>
  <r>
    <n v="24"/>
    <x v="0"/>
    <x v="0"/>
    <x v="0"/>
    <x v="0"/>
    <x v="3"/>
    <x v="0"/>
    <n v="3"/>
    <x v="1"/>
    <n v="12.9335"/>
    <n v="77.569100000000006"/>
    <n v="560028"/>
    <x v="1"/>
    <x v="0"/>
    <x v="2"/>
  </r>
  <r>
    <n v="25"/>
    <x v="1"/>
    <x v="0"/>
    <x v="0"/>
    <x v="0"/>
    <x v="0"/>
    <x v="0"/>
    <n v="3"/>
    <x v="1"/>
    <n v="12.976599999999999"/>
    <n v="77.599299999999999"/>
    <n v="560001"/>
    <x v="0"/>
    <x v="0"/>
    <x v="0"/>
  </r>
  <r>
    <n v="23"/>
    <x v="0"/>
    <x v="1"/>
    <x v="0"/>
    <x v="0"/>
    <x v="0"/>
    <x v="0"/>
    <n v="2"/>
    <x v="1"/>
    <n v="12.884499999999999"/>
    <n v="77.6036"/>
    <n v="560076"/>
    <x v="0"/>
    <x v="0"/>
    <x v="0"/>
  </r>
  <r>
    <n v="26"/>
    <x v="1"/>
    <x v="1"/>
    <x v="0"/>
    <x v="0"/>
    <x v="0"/>
    <x v="0"/>
    <n v="4"/>
    <x v="0"/>
    <n v="13.001899999999999"/>
    <n v="77.571299999999994"/>
    <n v="560003"/>
    <x v="0"/>
    <x v="0"/>
    <x v="0"/>
  </r>
  <r>
    <n v="24"/>
    <x v="0"/>
    <x v="0"/>
    <x v="0"/>
    <x v="0"/>
    <x v="4"/>
    <x v="0"/>
    <n v="3"/>
    <x v="1"/>
    <n v="13.102"/>
    <n v="77.586399999999998"/>
    <n v="560064"/>
    <x v="0"/>
    <x v="0"/>
    <x v="0"/>
  </r>
  <r>
    <n v="26"/>
    <x v="1"/>
    <x v="1"/>
    <x v="0"/>
    <x v="0"/>
    <x v="0"/>
    <x v="0"/>
    <n v="4"/>
    <x v="0"/>
    <n v="12.9048"/>
    <n v="77.682100000000005"/>
    <n v="560036"/>
    <x v="0"/>
    <x v="0"/>
    <x v="0"/>
  </r>
  <r>
    <n v="21"/>
    <x v="0"/>
    <x v="1"/>
    <x v="0"/>
    <x v="0"/>
    <x v="0"/>
    <x v="1"/>
    <n v="4"/>
    <x v="0"/>
    <n v="12.977"/>
    <n v="77.577299999999994"/>
    <n v="560009"/>
    <x v="0"/>
    <x v="0"/>
    <x v="0"/>
  </r>
  <r>
    <n v="22"/>
    <x v="0"/>
    <x v="0"/>
    <x v="0"/>
    <x v="0"/>
    <x v="0"/>
    <x v="0"/>
    <n v="3"/>
    <x v="1"/>
    <n v="12.977"/>
    <n v="77.577299999999994"/>
    <n v="560009"/>
    <x v="0"/>
    <x v="0"/>
    <x v="0"/>
  </r>
  <r>
    <n v="24"/>
    <x v="0"/>
    <x v="1"/>
    <x v="0"/>
    <x v="0"/>
    <x v="0"/>
    <x v="0"/>
    <n v="5"/>
    <x v="0"/>
    <n v="12.9337"/>
    <n v="77.59"/>
    <n v="560011"/>
    <x v="0"/>
    <x v="0"/>
    <x v="0"/>
  </r>
  <r>
    <n v="24"/>
    <x v="0"/>
    <x v="1"/>
    <x v="0"/>
    <x v="0"/>
    <x v="3"/>
    <x v="0"/>
    <n v="4"/>
    <x v="0"/>
    <n v="12.903700000000001"/>
    <n v="77.537599999999998"/>
    <n v="560061"/>
    <x v="0"/>
    <x v="0"/>
    <x v="0"/>
  </r>
  <r>
    <n v="23"/>
    <x v="0"/>
    <x v="0"/>
    <x v="0"/>
    <x v="0"/>
    <x v="0"/>
    <x v="0"/>
    <n v="3"/>
    <x v="1"/>
    <n v="12.977"/>
    <n v="77.577299999999994"/>
    <n v="560009"/>
    <x v="0"/>
    <x v="0"/>
    <x v="0"/>
  </r>
  <r>
    <n v="23"/>
    <x v="0"/>
    <x v="1"/>
    <x v="0"/>
    <x v="0"/>
    <x v="0"/>
    <x v="0"/>
    <n v="3"/>
    <x v="1"/>
    <n v="12.9343"/>
    <n v="77.604399999999998"/>
    <n v="560029"/>
    <x v="0"/>
    <x v="0"/>
    <x v="0"/>
  </r>
  <r>
    <n v="22"/>
    <x v="0"/>
    <x v="1"/>
    <x v="0"/>
    <x v="0"/>
    <x v="0"/>
    <x v="0"/>
    <n v="3"/>
    <x v="1"/>
    <n v="12.9438"/>
    <n v="77.573800000000006"/>
    <n v="560004"/>
    <x v="0"/>
    <x v="0"/>
    <x v="0"/>
  </r>
  <r>
    <n v="23"/>
    <x v="0"/>
    <x v="1"/>
    <x v="0"/>
    <x v="0"/>
    <x v="0"/>
    <x v="0"/>
    <n v="3"/>
    <x v="1"/>
    <n v="12.977"/>
    <n v="77.577299999999994"/>
    <n v="560009"/>
    <x v="0"/>
    <x v="0"/>
    <x v="0"/>
  </r>
  <r>
    <n v="24"/>
    <x v="0"/>
    <x v="0"/>
    <x v="0"/>
    <x v="0"/>
    <x v="0"/>
    <x v="0"/>
    <n v="4"/>
    <x v="0"/>
    <n v="12.978300000000001"/>
    <n v="77.640799999999999"/>
    <n v="560038"/>
    <x v="0"/>
    <x v="0"/>
    <x v="0"/>
  </r>
  <r>
    <n v="24"/>
    <x v="0"/>
    <x v="1"/>
    <x v="0"/>
    <x v="0"/>
    <x v="0"/>
    <x v="0"/>
    <n v="5"/>
    <x v="0"/>
    <n v="12.9337"/>
    <n v="77.59"/>
    <n v="560011"/>
    <x v="0"/>
    <x v="0"/>
    <x v="0"/>
  </r>
  <r>
    <n v="25"/>
    <x v="1"/>
    <x v="1"/>
    <x v="0"/>
    <x v="0"/>
    <x v="0"/>
    <x v="1"/>
    <n v="1"/>
    <x v="2"/>
    <n v="12.977"/>
    <n v="77.577299999999994"/>
    <n v="560009"/>
    <x v="0"/>
    <x v="0"/>
    <x v="0"/>
  </r>
  <r>
    <n v="25"/>
    <x v="1"/>
    <x v="1"/>
    <x v="0"/>
    <x v="0"/>
    <x v="0"/>
    <x v="0"/>
    <n v="5"/>
    <x v="0"/>
    <n v="12.977"/>
    <n v="77.577299999999994"/>
    <n v="560009"/>
    <x v="1"/>
    <x v="0"/>
    <x v="2"/>
  </r>
  <r>
    <n v="28"/>
    <x v="1"/>
    <x v="1"/>
    <x v="1"/>
    <x v="2"/>
    <x v="3"/>
    <x v="1"/>
    <n v="2"/>
    <x v="1"/>
    <n v="13.0289"/>
    <n v="77.540000000000006"/>
    <n v="560022"/>
    <x v="1"/>
    <x v="1"/>
    <x v="1"/>
  </r>
  <r>
    <n v="27"/>
    <x v="1"/>
    <x v="0"/>
    <x v="2"/>
    <x v="1"/>
    <x v="4"/>
    <x v="0"/>
    <n v="5"/>
    <x v="0"/>
    <n v="13.0289"/>
    <n v="77.540000000000006"/>
    <n v="560022"/>
    <x v="1"/>
    <x v="0"/>
    <x v="2"/>
  </r>
  <r>
    <n v="26"/>
    <x v="1"/>
    <x v="1"/>
    <x v="0"/>
    <x v="2"/>
    <x v="3"/>
    <x v="2"/>
    <n v="1"/>
    <x v="2"/>
    <n v="12.969799999999999"/>
    <n v="77.75"/>
    <n v="560066"/>
    <x v="1"/>
    <x v="0"/>
    <x v="2"/>
  </r>
  <r>
    <n v="22"/>
    <x v="0"/>
    <x v="1"/>
    <x v="0"/>
    <x v="0"/>
    <x v="0"/>
    <x v="0"/>
    <n v="2"/>
    <x v="1"/>
    <n v="12.977"/>
    <n v="77.577299999999994"/>
    <n v="560009"/>
    <x v="0"/>
    <x v="0"/>
    <x v="0"/>
  </r>
  <r>
    <n v="24"/>
    <x v="0"/>
    <x v="0"/>
    <x v="0"/>
    <x v="0"/>
    <x v="0"/>
    <x v="0"/>
    <n v="3"/>
    <x v="1"/>
    <n v="12.977"/>
    <n v="77.577299999999994"/>
    <n v="560009"/>
    <x v="0"/>
    <x v="0"/>
    <x v="0"/>
  </r>
  <r>
    <n v="23"/>
    <x v="0"/>
    <x v="1"/>
    <x v="0"/>
    <x v="0"/>
    <x v="0"/>
    <x v="0"/>
    <n v="1"/>
    <x v="2"/>
    <n v="12.956099999999999"/>
    <n v="77.592100000000002"/>
    <n v="560027"/>
    <x v="0"/>
    <x v="0"/>
    <x v="0"/>
  </r>
  <r>
    <n v="25"/>
    <x v="1"/>
    <x v="1"/>
    <x v="0"/>
    <x v="0"/>
    <x v="0"/>
    <x v="1"/>
    <n v="1"/>
    <x v="2"/>
    <n v="12.977"/>
    <n v="77.577299999999994"/>
    <n v="560009"/>
    <x v="0"/>
    <x v="0"/>
    <x v="0"/>
  </r>
  <r>
    <n v="23"/>
    <x v="0"/>
    <x v="0"/>
    <x v="0"/>
    <x v="0"/>
    <x v="0"/>
    <x v="1"/>
    <n v="5"/>
    <x v="0"/>
    <n v="13.0206"/>
    <n v="77.647900000000007"/>
    <n v="560043"/>
    <x v="0"/>
    <x v="0"/>
    <x v="0"/>
  </r>
  <r>
    <n v="23"/>
    <x v="0"/>
    <x v="0"/>
    <x v="0"/>
    <x v="0"/>
    <x v="0"/>
    <x v="1"/>
    <n v="5"/>
    <x v="0"/>
    <n v="13.0206"/>
    <n v="77.647900000000007"/>
    <n v="560043"/>
    <x v="0"/>
    <x v="0"/>
    <x v="0"/>
  </r>
  <r>
    <n v="26"/>
    <x v="1"/>
    <x v="1"/>
    <x v="1"/>
    <x v="1"/>
    <x v="4"/>
    <x v="1"/>
    <n v="5"/>
    <x v="0"/>
    <n v="12.9579"/>
    <n v="77.630899999999997"/>
    <n v="560007"/>
    <x v="1"/>
    <x v="0"/>
    <x v="2"/>
  </r>
  <r>
    <n v="32"/>
    <x v="2"/>
    <x v="0"/>
    <x v="1"/>
    <x v="3"/>
    <x v="0"/>
    <x v="3"/>
    <n v="3"/>
    <x v="1"/>
    <n v="13.013999999999999"/>
    <n v="77.565799999999996"/>
    <n v="560012"/>
    <x v="1"/>
    <x v="0"/>
    <x v="2"/>
  </r>
  <r>
    <n v="24"/>
    <x v="0"/>
    <x v="0"/>
    <x v="0"/>
    <x v="0"/>
    <x v="3"/>
    <x v="0"/>
    <n v="3"/>
    <x v="1"/>
    <n v="12.9335"/>
    <n v="77.569100000000006"/>
    <n v="560028"/>
    <x v="1"/>
    <x v="0"/>
    <x v="2"/>
  </r>
  <r>
    <n v="23"/>
    <x v="0"/>
    <x v="1"/>
    <x v="0"/>
    <x v="0"/>
    <x v="0"/>
    <x v="0"/>
    <n v="2"/>
    <x v="1"/>
    <n v="12.9442"/>
    <n v="77.607600000000005"/>
    <n v="560030"/>
    <x v="0"/>
    <x v="0"/>
    <x v="0"/>
  </r>
  <r>
    <n v="22"/>
    <x v="0"/>
    <x v="0"/>
    <x v="0"/>
    <x v="1"/>
    <x v="3"/>
    <x v="1"/>
    <n v="3"/>
    <x v="1"/>
    <n v="12.969799999999999"/>
    <n v="77.75"/>
    <n v="560066"/>
    <x v="0"/>
    <x v="0"/>
    <x v="0"/>
  </r>
  <r>
    <n v="24"/>
    <x v="0"/>
    <x v="0"/>
    <x v="0"/>
    <x v="0"/>
    <x v="0"/>
    <x v="2"/>
    <n v="3"/>
    <x v="1"/>
    <n v="12.9438"/>
    <n v="77.573800000000006"/>
    <n v="560004"/>
    <x v="0"/>
    <x v="0"/>
    <x v="0"/>
  </r>
  <r>
    <n v="26"/>
    <x v="1"/>
    <x v="1"/>
    <x v="0"/>
    <x v="1"/>
    <x v="4"/>
    <x v="1"/>
    <n v="2"/>
    <x v="1"/>
    <n v="12.9261"/>
    <n v="77.622100000000003"/>
    <n v="560034"/>
    <x v="0"/>
    <x v="1"/>
    <x v="1"/>
  </r>
  <r>
    <n v="28"/>
    <x v="1"/>
    <x v="1"/>
    <x v="1"/>
    <x v="1"/>
    <x v="2"/>
    <x v="1"/>
    <n v="3"/>
    <x v="1"/>
    <n v="12.969799999999999"/>
    <n v="77.75"/>
    <n v="560066"/>
    <x v="1"/>
    <x v="0"/>
    <x v="2"/>
  </r>
  <r>
    <n v="26"/>
    <x v="1"/>
    <x v="1"/>
    <x v="0"/>
    <x v="1"/>
    <x v="2"/>
    <x v="0"/>
    <n v="2"/>
    <x v="1"/>
    <n v="12.969799999999999"/>
    <n v="77.75"/>
    <n v="560066"/>
    <x v="1"/>
    <x v="0"/>
    <x v="2"/>
  </r>
  <r>
    <n v="25"/>
    <x v="1"/>
    <x v="1"/>
    <x v="0"/>
    <x v="0"/>
    <x v="0"/>
    <x v="0"/>
    <n v="1"/>
    <x v="2"/>
    <n v="12.9343"/>
    <n v="77.604399999999998"/>
    <n v="560029"/>
    <x v="0"/>
    <x v="0"/>
    <x v="0"/>
  </r>
  <r>
    <n v="25"/>
    <x v="1"/>
    <x v="1"/>
    <x v="0"/>
    <x v="1"/>
    <x v="1"/>
    <x v="1"/>
    <n v="2"/>
    <x v="1"/>
    <n v="12.969799999999999"/>
    <n v="77.75"/>
    <n v="560066"/>
    <x v="1"/>
    <x v="0"/>
    <x v="2"/>
  </r>
  <r>
    <n v="18"/>
    <x v="0"/>
    <x v="1"/>
    <x v="0"/>
    <x v="0"/>
    <x v="0"/>
    <x v="1"/>
    <n v="5"/>
    <x v="0"/>
    <n v="12.9635"/>
    <n v="77.582099999999997"/>
    <n v="560002"/>
    <x v="0"/>
    <x v="0"/>
    <x v="0"/>
  </r>
  <r>
    <n v="21"/>
    <x v="0"/>
    <x v="1"/>
    <x v="0"/>
    <x v="0"/>
    <x v="0"/>
    <x v="0"/>
    <n v="4"/>
    <x v="0"/>
    <n v="12.977"/>
    <n v="77.577299999999994"/>
    <n v="560009"/>
    <x v="0"/>
    <x v="0"/>
    <x v="0"/>
  </r>
  <r>
    <n v="25"/>
    <x v="1"/>
    <x v="1"/>
    <x v="0"/>
    <x v="0"/>
    <x v="0"/>
    <x v="0"/>
    <n v="1"/>
    <x v="2"/>
    <n v="12.9343"/>
    <n v="77.604399999999998"/>
    <n v="560029"/>
    <x v="0"/>
    <x v="0"/>
    <x v="0"/>
  </r>
  <r>
    <n v="25"/>
    <x v="1"/>
    <x v="1"/>
    <x v="0"/>
    <x v="0"/>
    <x v="1"/>
    <x v="0"/>
    <n v="2"/>
    <x v="1"/>
    <n v="12.9925"/>
    <n v="77.563299999999998"/>
    <n v="560021"/>
    <x v="0"/>
    <x v="0"/>
    <x v="0"/>
  </r>
  <r>
    <n v="23"/>
    <x v="0"/>
    <x v="0"/>
    <x v="0"/>
    <x v="0"/>
    <x v="0"/>
    <x v="1"/>
    <n v="5"/>
    <x v="0"/>
    <n v="13.0206"/>
    <n v="77.647900000000007"/>
    <n v="560043"/>
    <x v="0"/>
    <x v="0"/>
    <x v="0"/>
  </r>
  <r>
    <n v="23"/>
    <x v="0"/>
    <x v="1"/>
    <x v="0"/>
    <x v="1"/>
    <x v="3"/>
    <x v="0"/>
    <n v="2"/>
    <x v="1"/>
    <n v="12.984999999999999"/>
    <n v="77.553299999999993"/>
    <n v="560010"/>
    <x v="0"/>
    <x v="0"/>
    <x v="0"/>
  </r>
  <r>
    <n v="25"/>
    <x v="1"/>
    <x v="0"/>
    <x v="1"/>
    <x v="1"/>
    <x v="4"/>
    <x v="1"/>
    <n v="4"/>
    <x v="0"/>
    <n v="12.9551"/>
    <n v="77.659300000000002"/>
    <n v="560017"/>
    <x v="1"/>
    <x v="1"/>
    <x v="1"/>
  </r>
  <r>
    <n v="31"/>
    <x v="2"/>
    <x v="0"/>
    <x v="1"/>
    <x v="3"/>
    <x v="0"/>
    <x v="4"/>
    <n v="5"/>
    <x v="0"/>
    <n v="13.0289"/>
    <n v="77.540000000000006"/>
    <n v="560022"/>
    <x v="0"/>
    <x v="0"/>
    <x v="0"/>
  </r>
  <r>
    <n v="24"/>
    <x v="0"/>
    <x v="1"/>
    <x v="2"/>
    <x v="2"/>
    <x v="2"/>
    <x v="2"/>
    <n v="2"/>
    <x v="1"/>
    <n v="13.0138"/>
    <n v="77.587699999999998"/>
    <n v="560006"/>
    <x v="1"/>
    <x v="0"/>
    <x v="2"/>
  </r>
  <r>
    <n v="32"/>
    <x v="2"/>
    <x v="0"/>
    <x v="1"/>
    <x v="1"/>
    <x v="4"/>
    <x v="1"/>
    <n v="5"/>
    <x v="0"/>
    <n v="12.9261"/>
    <n v="77.622100000000003"/>
    <n v="560034"/>
    <x v="0"/>
    <x v="0"/>
    <x v="0"/>
  </r>
  <r>
    <n v="25"/>
    <x v="1"/>
    <x v="1"/>
    <x v="0"/>
    <x v="1"/>
    <x v="4"/>
    <x v="1"/>
    <n v="3"/>
    <x v="1"/>
    <n v="12.976599999999999"/>
    <n v="77.599299999999999"/>
    <n v="560001"/>
    <x v="0"/>
    <x v="0"/>
    <x v="0"/>
  </r>
  <r>
    <n v="27"/>
    <x v="1"/>
    <x v="0"/>
    <x v="1"/>
    <x v="2"/>
    <x v="2"/>
    <x v="1"/>
    <n v="5"/>
    <x v="0"/>
    <n v="12.976599999999999"/>
    <n v="77.599299999999999"/>
    <n v="560001"/>
    <x v="1"/>
    <x v="0"/>
    <x v="2"/>
  </r>
  <r>
    <n v="26"/>
    <x v="1"/>
    <x v="1"/>
    <x v="0"/>
    <x v="2"/>
    <x v="4"/>
    <x v="1"/>
    <n v="3"/>
    <x v="1"/>
    <n v="12.976599999999999"/>
    <n v="77.599299999999999"/>
    <n v="560001"/>
    <x v="0"/>
    <x v="0"/>
    <x v="0"/>
  </r>
  <r>
    <n v="26"/>
    <x v="1"/>
    <x v="0"/>
    <x v="0"/>
    <x v="2"/>
    <x v="4"/>
    <x v="0"/>
    <n v="3"/>
    <x v="1"/>
    <n v="12.9635"/>
    <n v="77.582099999999997"/>
    <n v="560002"/>
    <x v="0"/>
    <x v="0"/>
    <x v="0"/>
  </r>
  <r>
    <n v="32"/>
    <x v="2"/>
    <x v="1"/>
    <x v="1"/>
    <x v="1"/>
    <x v="2"/>
    <x v="2"/>
    <n v="5"/>
    <x v="0"/>
    <n v="12.9635"/>
    <n v="77.582099999999997"/>
    <n v="560002"/>
    <x v="0"/>
    <x v="1"/>
    <x v="1"/>
  </r>
  <r>
    <n v="24"/>
    <x v="0"/>
    <x v="1"/>
    <x v="1"/>
    <x v="2"/>
    <x v="2"/>
    <x v="2"/>
    <n v="6"/>
    <x v="0"/>
    <n v="12.9635"/>
    <n v="77.582099999999997"/>
    <n v="560002"/>
    <x v="1"/>
    <x v="1"/>
    <x v="1"/>
  </r>
  <r>
    <n v="27"/>
    <x v="1"/>
    <x v="0"/>
    <x v="1"/>
    <x v="2"/>
    <x v="4"/>
    <x v="1"/>
    <n v="3"/>
    <x v="1"/>
    <n v="12.9635"/>
    <n v="77.582099999999997"/>
    <n v="560002"/>
    <x v="0"/>
    <x v="0"/>
    <x v="0"/>
  </r>
  <r>
    <n v="23"/>
    <x v="0"/>
    <x v="1"/>
    <x v="0"/>
    <x v="0"/>
    <x v="0"/>
    <x v="0"/>
    <n v="3"/>
    <x v="1"/>
    <n v="12.977"/>
    <n v="77.577299999999994"/>
    <n v="560009"/>
    <x v="0"/>
    <x v="0"/>
    <x v="0"/>
  </r>
  <r>
    <n v="25"/>
    <x v="1"/>
    <x v="1"/>
    <x v="0"/>
    <x v="0"/>
    <x v="0"/>
    <x v="0"/>
    <n v="4"/>
    <x v="0"/>
    <n v="12.977"/>
    <n v="77.577299999999994"/>
    <n v="560009"/>
    <x v="0"/>
    <x v="0"/>
    <x v="0"/>
  </r>
  <r>
    <n v="23"/>
    <x v="0"/>
    <x v="1"/>
    <x v="0"/>
    <x v="0"/>
    <x v="0"/>
    <x v="0"/>
    <n v="3"/>
    <x v="1"/>
    <n v="12.977"/>
    <n v="77.577299999999994"/>
    <n v="560009"/>
    <x v="0"/>
    <x v="0"/>
    <x v="0"/>
  </r>
  <r>
    <n v="23"/>
    <x v="0"/>
    <x v="0"/>
    <x v="0"/>
    <x v="0"/>
    <x v="0"/>
    <x v="0"/>
    <n v="4"/>
    <x v="0"/>
    <n v="13.0487"/>
    <n v="77.592299999999994"/>
    <n v="560024"/>
    <x v="0"/>
    <x v="0"/>
    <x v="0"/>
  </r>
  <r>
    <n v="28"/>
    <x v="1"/>
    <x v="1"/>
    <x v="1"/>
    <x v="1"/>
    <x v="2"/>
    <x v="0"/>
    <n v="3"/>
    <x v="1"/>
    <n v="13.001899999999999"/>
    <n v="77.571299999999994"/>
    <n v="560003"/>
    <x v="0"/>
    <x v="0"/>
    <x v="0"/>
  </r>
  <r>
    <n v="32"/>
    <x v="2"/>
    <x v="0"/>
    <x v="1"/>
    <x v="1"/>
    <x v="2"/>
    <x v="1"/>
    <n v="1"/>
    <x v="2"/>
    <n v="13.001899999999999"/>
    <n v="77.571299999999994"/>
    <n v="560003"/>
    <x v="1"/>
    <x v="0"/>
    <x v="2"/>
  </r>
  <r>
    <n v="23"/>
    <x v="0"/>
    <x v="1"/>
    <x v="0"/>
    <x v="0"/>
    <x v="0"/>
    <x v="0"/>
    <n v="2"/>
    <x v="1"/>
    <n v="13.001899999999999"/>
    <n v="77.571299999999994"/>
    <n v="560003"/>
    <x v="0"/>
    <x v="0"/>
    <x v="0"/>
  </r>
  <r>
    <n v="19"/>
    <x v="0"/>
    <x v="1"/>
    <x v="0"/>
    <x v="0"/>
    <x v="0"/>
    <x v="1"/>
    <n v="2"/>
    <x v="1"/>
    <n v="13.001899999999999"/>
    <n v="77.571299999999994"/>
    <n v="560003"/>
    <x v="1"/>
    <x v="1"/>
    <x v="1"/>
  </r>
  <r>
    <n v="19"/>
    <x v="0"/>
    <x v="0"/>
    <x v="0"/>
    <x v="0"/>
    <x v="0"/>
    <x v="1"/>
    <n v="4"/>
    <x v="0"/>
    <n v="12.9537"/>
    <n v="77.617599999999996"/>
    <n v="560047"/>
    <x v="0"/>
    <x v="0"/>
    <x v="0"/>
  </r>
  <r>
    <n v="27"/>
    <x v="1"/>
    <x v="0"/>
    <x v="1"/>
    <x v="1"/>
    <x v="4"/>
    <x v="0"/>
    <n v="2"/>
    <x v="1"/>
    <n v="12.969799999999999"/>
    <n v="77.75"/>
    <n v="560066"/>
    <x v="1"/>
    <x v="0"/>
    <x v="2"/>
  </r>
  <r>
    <n v="25"/>
    <x v="1"/>
    <x v="1"/>
    <x v="0"/>
    <x v="2"/>
    <x v="4"/>
    <x v="1"/>
    <n v="3"/>
    <x v="1"/>
    <n v="12.997999999999999"/>
    <n v="77.622699999999995"/>
    <n v="560005"/>
    <x v="0"/>
    <x v="0"/>
    <x v="0"/>
  </r>
  <r>
    <n v="33"/>
    <x v="2"/>
    <x v="1"/>
    <x v="1"/>
    <x v="1"/>
    <x v="2"/>
    <x v="2"/>
    <n v="5"/>
    <x v="0"/>
    <n v="12.997999999999999"/>
    <n v="77.622699999999995"/>
    <n v="560005"/>
    <x v="1"/>
    <x v="1"/>
    <x v="1"/>
  </r>
  <r>
    <n v="26"/>
    <x v="1"/>
    <x v="0"/>
    <x v="0"/>
    <x v="1"/>
    <x v="2"/>
    <x v="1"/>
    <n v="3"/>
    <x v="1"/>
    <n v="12.997999999999999"/>
    <n v="77.622699999999995"/>
    <n v="560005"/>
    <x v="0"/>
    <x v="0"/>
    <x v="0"/>
  </r>
  <r>
    <n v="22"/>
    <x v="0"/>
    <x v="0"/>
    <x v="0"/>
    <x v="0"/>
    <x v="1"/>
    <x v="0"/>
    <n v="4"/>
    <x v="0"/>
    <n v="12.9343"/>
    <n v="77.604399999999998"/>
    <n v="560029"/>
    <x v="0"/>
    <x v="0"/>
    <x v="0"/>
  </r>
  <r>
    <n v="23"/>
    <x v="0"/>
    <x v="1"/>
    <x v="0"/>
    <x v="0"/>
    <x v="0"/>
    <x v="0"/>
    <n v="3"/>
    <x v="1"/>
    <n v="13.102"/>
    <n v="77.586399999999998"/>
    <n v="560064"/>
    <x v="1"/>
    <x v="0"/>
    <x v="2"/>
  </r>
  <r>
    <n v="22"/>
    <x v="0"/>
    <x v="0"/>
    <x v="0"/>
    <x v="0"/>
    <x v="0"/>
    <x v="1"/>
    <n v="3"/>
    <x v="1"/>
    <n v="13.0158"/>
    <n v="77.539000000000001"/>
    <n v="560096"/>
    <x v="0"/>
    <x v="1"/>
    <x v="1"/>
  </r>
  <r>
    <n v="25"/>
    <x v="1"/>
    <x v="1"/>
    <x v="1"/>
    <x v="1"/>
    <x v="4"/>
    <x v="1"/>
    <n v="2"/>
    <x v="1"/>
    <n v="12.997999999999999"/>
    <n v="77.622699999999995"/>
    <n v="560005"/>
    <x v="0"/>
    <x v="0"/>
    <x v="0"/>
  </r>
  <r>
    <n v="30"/>
    <x v="2"/>
    <x v="0"/>
    <x v="1"/>
    <x v="3"/>
    <x v="0"/>
    <x v="4"/>
    <n v="5"/>
    <x v="0"/>
    <n v="12.997999999999999"/>
    <n v="77.622699999999995"/>
    <n v="560005"/>
    <x v="0"/>
    <x v="0"/>
    <x v="0"/>
  </r>
  <r>
    <n v="24"/>
    <x v="0"/>
    <x v="1"/>
    <x v="0"/>
    <x v="0"/>
    <x v="0"/>
    <x v="0"/>
    <n v="3"/>
    <x v="1"/>
    <n v="13.0138"/>
    <n v="77.587699999999998"/>
    <n v="560006"/>
    <x v="1"/>
    <x v="1"/>
    <x v="1"/>
  </r>
  <r>
    <n v="25"/>
    <x v="1"/>
    <x v="1"/>
    <x v="0"/>
    <x v="1"/>
    <x v="3"/>
    <x v="0"/>
    <n v="3"/>
    <x v="1"/>
    <n v="13.0138"/>
    <n v="77.587699999999998"/>
    <n v="560006"/>
    <x v="0"/>
    <x v="0"/>
    <x v="0"/>
  </r>
  <r>
    <n v="23"/>
    <x v="0"/>
    <x v="1"/>
    <x v="0"/>
    <x v="0"/>
    <x v="2"/>
    <x v="0"/>
    <n v="3"/>
    <x v="1"/>
    <n v="12.977"/>
    <n v="77.577299999999994"/>
    <n v="560009"/>
    <x v="0"/>
    <x v="0"/>
    <x v="0"/>
  </r>
  <r>
    <n v="24"/>
    <x v="0"/>
    <x v="0"/>
    <x v="0"/>
    <x v="0"/>
    <x v="0"/>
    <x v="0"/>
    <n v="4"/>
    <x v="0"/>
    <n v="13.0496"/>
    <n v="77.494100000000003"/>
    <n v="560073"/>
    <x v="0"/>
    <x v="0"/>
    <x v="0"/>
  </r>
  <r>
    <n v="32"/>
    <x v="2"/>
    <x v="1"/>
    <x v="1"/>
    <x v="1"/>
    <x v="3"/>
    <x v="1"/>
    <n v="4"/>
    <x v="0"/>
    <n v="12.978300000000001"/>
    <n v="77.640799999999999"/>
    <n v="560038"/>
    <x v="0"/>
    <x v="0"/>
    <x v="0"/>
  </r>
  <r>
    <n v="22"/>
    <x v="0"/>
    <x v="1"/>
    <x v="0"/>
    <x v="0"/>
    <x v="0"/>
    <x v="0"/>
    <n v="4"/>
    <x v="0"/>
    <n v="12.988899999999999"/>
    <n v="77.574100000000001"/>
    <n v="560020"/>
    <x v="0"/>
    <x v="0"/>
    <x v="0"/>
  </r>
  <r>
    <n v="23"/>
    <x v="0"/>
    <x v="1"/>
    <x v="0"/>
    <x v="0"/>
    <x v="2"/>
    <x v="0"/>
    <n v="3"/>
    <x v="1"/>
    <n v="12.977"/>
    <n v="77.577299999999994"/>
    <n v="560009"/>
    <x v="0"/>
    <x v="0"/>
    <x v="0"/>
  </r>
  <r>
    <n v="23"/>
    <x v="0"/>
    <x v="0"/>
    <x v="0"/>
    <x v="0"/>
    <x v="0"/>
    <x v="0"/>
    <n v="4"/>
    <x v="0"/>
    <n v="13.0487"/>
    <n v="77.592299999999994"/>
    <n v="560024"/>
    <x v="0"/>
    <x v="0"/>
    <x v="0"/>
  </r>
  <r>
    <n v="20"/>
    <x v="0"/>
    <x v="1"/>
    <x v="0"/>
    <x v="0"/>
    <x v="0"/>
    <x v="1"/>
    <n v="2"/>
    <x v="1"/>
    <n v="12.9579"/>
    <n v="77.630899999999997"/>
    <n v="560007"/>
    <x v="0"/>
    <x v="0"/>
    <x v="0"/>
  </r>
  <r>
    <n v="21"/>
    <x v="0"/>
    <x v="1"/>
    <x v="0"/>
    <x v="0"/>
    <x v="0"/>
    <x v="1"/>
    <n v="2"/>
    <x v="1"/>
    <n v="12.9579"/>
    <n v="77.630899999999997"/>
    <n v="560007"/>
    <x v="0"/>
    <x v="0"/>
    <x v="0"/>
  </r>
  <r>
    <n v="24"/>
    <x v="0"/>
    <x v="0"/>
    <x v="1"/>
    <x v="2"/>
    <x v="3"/>
    <x v="1"/>
    <n v="5"/>
    <x v="0"/>
    <n v="12.9579"/>
    <n v="77.630899999999997"/>
    <n v="560007"/>
    <x v="0"/>
    <x v="0"/>
    <x v="0"/>
  </r>
  <r>
    <n v="23"/>
    <x v="0"/>
    <x v="0"/>
    <x v="0"/>
    <x v="0"/>
    <x v="0"/>
    <x v="0"/>
    <n v="4"/>
    <x v="0"/>
    <n v="13.0487"/>
    <n v="77.592299999999994"/>
    <n v="560024"/>
    <x v="0"/>
    <x v="0"/>
    <x v="0"/>
  </r>
  <r>
    <n v="25"/>
    <x v="1"/>
    <x v="1"/>
    <x v="0"/>
    <x v="1"/>
    <x v="4"/>
    <x v="0"/>
    <n v="3"/>
    <x v="1"/>
    <n v="12.984999999999999"/>
    <n v="77.553299999999993"/>
    <n v="560010"/>
    <x v="0"/>
    <x v="0"/>
    <x v="0"/>
  </r>
  <r>
    <n v="32"/>
    <x v="2"/>
    <x v="0"/>
    <x v="1"/>
    <x v="3"/>
    <x v="0"/>
    <x v="1"/>
    <n v="3"/>
    <x v="1"/>
    <n v="12.984999999999999"/>
    <n v="77.553299999999993"/>
    <n v="560010"/>
    <x v="0"/>
    <x v="0"/>
    <x v="0"/>
  </r>
  <r>
    <n v="27"/>
    <x v="1"/>
    <x v="1"/>
    <x v="1"/>
    <x v="1"/>
    <x v="2"/>
    <x v="2"/>
    <n v="5"/>
    <x v="0"/>
    <n v="12.984999999999999"/>
    <n v="77.553299999999993"/>
    <n v="560010"/>
    <x v="1"/>
    <x v="1"/>
    <x v="1"/>
  </r>
  <r>
    <n v="20"/>
    <x v="0"/>
    <x v="0"/>
    <x v="0"/>
    <x v="0"/>
    <x v="0"/>
    <x v="1"/>
    <n v="2"/>
    <x v="1"/>
    <n v="12.9337"/>
    <n v="77.59"/>
    <n v="560011"/>
    <x v="0"/>
    <x v="0"/>
    <x v="0"/>
  </r>
  <r>
    <n v="21"/>
    <x v="0"/>
    <x v="1"/>
    <x v="0"/>
    <x v="0"/>
    <x v="0"/>
    <x v="1"/>
    <n v="2"/>
    <x v="1"/>
    <n v="12.9337"/>
    <n v="77.59"/>
    <n v="560011"/>
    <x v="0"/>
    <x v="0"/>
    <x v="0"/>
  </r>
  <r>
    <n v="26"/>
    <x v="1"/>
    <x v="1"/>
    <x v="0"/>
    <x v="1"/>
    <x v="2"/>
    <x v="0"/>
    <n v="3"/>
    <x v="1"/>
    <n v="12.9337"/>
    <n v="77.59"/>
    <n v="560011"/>
    <x v="1"/>
    <x v="1"/>
    <x v="1"/>
  </r>
  <r>
    <n v="25"/>
    <x v="1"/>
    <x v="1"/>
    <x v="0"/>
    <x v="1"/>
    <x v="3"/>
    <x v="1"/>
    <n v="4"/>
    <x v="0"/>
    <n v="13.0166"/>
    <n v="77.680400000000006"/>
    <n v="560016"/>
    <x v="0"/>
    <x v="0"/>
    <x v="0"/>
  </r>
  <r>
    <n v="26"/>
    <x v="1"/>
    <x v="1"/>
    <x v="0"/>
    <x v="1"/>
    <x v="4"/>
    <x v="0"/>
    <n v="3"/>
    <x v="1"/>
    <n v="13.013999999999999"/>
    <n v="77.565799999999996"/>
    <n v="560012"/>
    <x v="0"/>
    <x v="0"/>
    <x v="0"/>
  </r>
  <r>
    <n v="26"/>
    <x v="1"/>
    <x v="0"/>
    <x v="1"/>
    <x v="1"/>
    <x v="4"/>
    <x v="1"/>
    <n v="3"/>
    <x v="1"/>
    <n v="13.013999999999999"/>
    <n v="77.565799999999996"/>
    <n v="560012"/>
    <x v="0"/>
    <x v="0"/>
    <x v="0"/>
  </r>
  <r>
    <n v="27"/>
    <x v="1"/>
    <x v="1"/>
    <x v="0"/>
    <x v="1"/>
    <x v="2"/>
    <x v="2"/>
    <n v="4"/>
    <x v="0"/>
    <n v="13.0503"/>
    <n v="77.552899999999994"/>
    <n v="560013"/>
    <x v="1"/>
    <x v="0"/>
    <x v="2"/>
  </r>
  <r>
    <n v="27"/>
    <x v="1"/>
    <x v="0"/>
    <x v="0"/>
    <x v="0"/>
    <x v="0"/>
    <x v="2"/>
    <n v="5"/>
    <x v="0"/>
    <n v="13.0503"/>
    <n v="77.552899999999994"/>
    <n v="560013"/>
    <x v="1"/>
    <x v="1"/>
    <x v="1"/>
  </r>
  <r>
    <n v="24"/>
    <x v="0"/>
    <x v="0"/>
    <x v="0"/>
    <x v="0"/>
    <x v="0"/>
    <x v="0"/>
    <n v="5"/>
    <x v="0"/>
    <n v="12.988300000000001"/>
    <n v="77.598699999999994"/>
    <n v="560051"/>
    <x v="0"/>
    <x v="0"/>
    <x v="0"/>
  </r>
  <r>
    <n v="25"/>
    <x v="1"/>
    <x v="1"/>
    <x v="1"/>
    <x v="2"/>
    <x v="2"/>
    <x v="4"/>
    <n v="2"/>
    <x v="1"/>
    <n v="13.0626"/>
    <n v="77.528400000000005"/>
    <n v="560015"/>
    <x v="0"/>
    <x v="0"/>
    <x v="0"/>
  </r>
  <r>
    <n v="20"/>
    <x v="0"/>
    <x v="1"/>
    <x v="0"/>
    <x v="0"/>
    <x v="0"/>
    <x v="1"/>
    <n v="2"/>
    <x v="1"/>
    <n v="13.0626"/>
    <n v="77.528400000000005"/>
    <n v="560015"/>
    <x v="1"/>
    <x v="1"/>
    <x v="1"/>
  </r>
  <r>
    <n v="22"/>
    <x v="0"/>
    <x v="1"/>
    <x v="0"/>
    <x v="0"/>
    <x v="0"/>
    <x v="0"/>
    <n v="1"/>
    <x v="2"/>
    <n v="13.0626"/>
    <n v="77.528400000000005"/>
    <n v="560015"/>
    <x v="0"/>
    <x v="0"/>
    <x v="0"/>
  </r>
  <r>
    <n v="26"/>
    <x v="1"/>
    <x v="0"/>
    <x v="1"/>
    <x v="0"/>
    <x v="1"/>
    <x v="2"/>
    <n v="3"/>
    <x v="1"/>
    <n v="13.0166"/>
    <n v="77.680400000000006"/>
    <n v="560016"/>
    <x v="0"/>
    <x v="0"/>
    <x v="0"/>
  </r>
  <r>
    <n v="27"/>
    <x v="1"/>
    <x v="1"/>
    <x v="2"/>
    <x v="1"/>
    <x v="4"/>
    <x v="0"/>
    <n v="1"/>
    <x v="2"/>
    <n v="13.0166"/>
    <n v="77.680400000000006"/>
    <n v="560016"/>
    <x v="0"/>
    <x v="0"/>
    <x v="0"/>
  </r>
  <r>
    <n v="25"/>
    <x v="1"/>
    <x v="0"/>
    <x v="0"/>
    <x v="0"/>
    <x v="0"/>
    <x v="0"/>
    <n v="3"/>
    <x v="1"/>
    <n v="12.9551"/>
    <n v="77.659300000000002"/>
    <n v="560017"/>
    <x v="0"/>
    <x v="0"/>
    <x v="0"/>
  </r>
  <r>
    <n v="24"/>
    <x v="0"/>
    <x v="1"/>
    <x v="0"/>
    <x v="1"/>
    <x v="1"/>
    <x v="1"/>
    <n v="2"/>
    <x v="1"/>
    <n v="12.9551"/>
    <n v="77.659300000000002"/>
    <n v="560017"/>
    <x v="0"/>
    <x v="0"/>
    <x v="0"/>
  </r>
  <r>
    <n v="23"/>
    <x v="0"/>
    <x v="0"/>
    <x v="0"/>
    <x v="1"/>
    <x v="3"/>
    <x v="1"/>
    <n v="6"/>
    <x v="0"/>
    <n v="12.9551"/>
    <n v="77.659300000000002"/>
    <n v="560017"/>
    <x v="0"/>
    <x v="0"/>
    <x v="0"/>
  </r>
  <r>
    <n v="22"/>
    <x v="0"/>
    <x v="1"/>
    <x v="0"/>
    <x v="0"/>
    <x v="0"/>
    <x v="1"/>
    <n v="2"/>
    <x v="1"/>
    <n v="12.957000000000001"/>
    <n v="77.563699999999997"/>
    <n v="560018"/>
    <x v="1"/>
    <x v="0"/>
    <x v="2"/>
  </r>
  <r>
    <n v="26"/>
    <x v="1"/>
    <x v="1"/>
    <x v="1"/>
    <x v="2"/>
    <x v="2"/>
    <x v="0"/>
    <n v="3"/>
    <x v="1"/>
    <n v="12.957000000000001"/>
    <n v="77.563699999999997"/>
    <n v="560018"/>
    <x v="1"/>
    <x v="1"/>
    <x v="1"/>
  </r>
  <r>
    <n v="26"/>
    <x v="1"/>
    <x v="1"/>
    <x v="0"/>
    <x v="1"/>
    <x v="1"/>
    <x v="0"/>
    <n v="1"/>
    <x v="2"/>
    <n v="12.957000000000001"/>
    <n v="77.563699999999997"/>
    <n v="560018"/>
    <x v="0"/>
    <x v="1"/>
    <x v="1"/>
  </r>
  <r>
    <n v="25"/>
    <x v="1"/>
    <x v="0"/>
    <x v="1"/>
    <x v="2"/>
    <x v="4"/>
    <x v="0"/>
    <n v="3"/>
    <x v="1"/>
    <n v="12.957000000000001"/>
    <n v="77.563699999999997"/>
    <n v="560018"/>
    <x v="1"/>
    <x v="0"/>
    <x v="2"/>
  </r>
  <r>
    <n v="29"/>
    <x v="1"/>
    <x v="0"/>
    <x v="1"/>
    <x v="1"/>
    <x v="2"/>
    <x v="1"/>
    <n v="3"/>
    <x v="1"/>
    <n v="12.957000000000001"/>
    <n v="77.563699999999997"/>
    <n v="560018"/>
    <x v="1"/>
    <x v="0"/>
    <x v="2"/>
  </r>
  <r>
    <n v="23"/>
    <x v="0"/>
    <x v="1"/>
    <x v="0"/>
    <x v="0"/>
    <x v="1"/>
    <x v="1"/>
    <n v="3"/>
    <x v="1"/>
    <n v="12.8652"/>
    <n v="77.524000000000001"/>
    <n v="560109"/>
    <x v="0"/>
    <x v="1"/>
    <x v="1"/>
  </r>
  <r>
    <n v="22"/>
    <x v="0"/>
    <x v="0"/>
    <x v="0"/>
    <x v="1"/>
    <x v="4"/>
    <x v="1"/>
    <n v="4"/>
    <x v="0"/>
    <n v="12.969799999999999"/>
    <n v="77.75"/>
    <n v="560066"/>
    <x v="0"/>
    <x v="0"/>
    <x v="0"/>
  </r>
  <r>
    <n v="22"/>
    <x v="0"/>
    <x v="1"/>
    <x v="0"/>
    <x v="0"/>
    <x v="0"/>
    <x v="1"/>
    <n v="2"/>
    <x v="1"/>
    <n v="12.988899999999999"/>
    <n v="77.574100000000001"/>
    <n v="560020"/>
    <x v="1"/>
    <x v="0"/>
    <x v="2"/>
  </r>
  <r>
    <n v="32"/>
    <x v="2"/>
    <x v="0"/>
    <x v="1"/>
    <x v="3"/>
    <x v="0"/>
    <x v="4"/>
    <n v="5"/>
    <x v="0"/>
    <n v="12.988899999999999"/>
    <n v="77.574100000000001"/>
    <n v="560020"/>
    <x v="0"/>
    <x v="0"/>
    <x v="0"/>
  </r>
  <r>
    <n v="28"/>
    <x v="1"/>
    <x v="1"/>
    <x v="1"/>
    <x v="1"/>
    <x v="2"/>
    <x v="0"/>
    <n v="1"/>
    <x v="2"/>
    <n v="12.9925"/>
    <n v="77.563299999999998"/>
    <n v="560021"/>
    <x v="0"/>
    <x v="0"/>
    <x v="0"/>
  </r>
  <r>
    <n v="22"/>
    <x v="0"/>
    <x v="1"/>
    <x v="0"/>
    <x v="0"/>
    <x v="0"/>
    <x v="0"/>
    <n v="2"/>
    <x v="1"/>
    <n v="12.977"/>
    <n v="77.577299999999994"/>
    <n v="560009"/>
    <x v="0"/>
    <x v="0"/>
    <x v="0"/>
  </r>
  <r>
    <n v="25"/>
    <x v="1"/>
    <x v="1"/>
    <x v="0"/>
    <x v="1"/>
    <x v="3"/>
    <x v="1"/>
    <n v="2"/>
    <x v="1"/>
    <n v="12.9757"/>
    <n v="77.558599999999998"/>
    <n v="560023"/>
    <x v="0"/>
    <x v="0"/>
    <x v="0"/>
  </r>
  <r>
    <n v="26"/>
    <x v="1"/>
    <x v="0"/>
    <x v="1"/>
    <x v="1"/>
    <x v="4"/>
    <x v="0"/>
    <n v="2"/>
    <x v="1"/>
    <n v="12.9757"/>
    <n v="77.558599999999998"/>
    <n v="560023"/>
    <x v="1"/>
    <x v="1"/>
    <x v="1"/>
  </r>
  <r>
    <n v="31"/>
    <x v="2"/>
    <x v="1"/>
    <x v="1"/>
    <x v="2"/>
    <x v="2"/>
    <x v="4"/>
    <n v="6"/>
    <x v="0"/>
    <n v="13.0487"/>
    <n v="77.592299999999994"/>
    <n v="560024"/>
    <x v="0"/>
    <x v="0"/>
    <x v="0"/>
  </r>
  <r>
    <n v="24"/>
    <x v="0"/>
    <x v="1"/>
    <x v="0"/>
    <x v="0"/>
    <x v="0"/>
    <x v="0"/>
    <n v="3"/>
    <x v="1"/>
    <n v="13.0487"/>
    <n v="77.592299999999994"/>
    <n v="560024"/>
    <x v="1"/>
    <x v="1"/>
    <x v="1"/>
  </r>
  <r>
    <n v="24"/>
    <x v="0"/>
    <x v="1"/>
    <x v="0"/>
    <x v="1"/>
    <x v="4"/>
    <x v="0"/>
    <n v="2"/>
    <x v="1"/>
    <n v="12.966200000000001"/>
    <n v="77.606800000000007"/>
    <n v="560025"/>
    <x v="0"/>
    <x v="0"/>
    <x v="0"/>
  </r>
  <r>
    <n v="31"/>
    <x v="2"/>
    <x v="0"/>
    <x v="1"/>
    <x v="1"/>
    <x v="2"/>
    <x v="2"/>
    <n v="5"/>
    <x v="0"/>
    <n v="12.966200000000001"/>
    <n v="77.606800000000007"/>
    <n v="560025"/>
    <x v="0"/>
    <x v="0"/>
    <x v="0"/>
  </r>
  <r>
    <n v="26"/>
    <x v="1"/>
    <x v="1"/>
    <x v="0"/>
    <x v="1"/>
    <x v="4"/>
    <x v="1"/>
    <n v="2"/>
    <x v="1"/>
    <n v="12.9343"/>
    <n v="77.604399999999998"/>
    <n v="560029"/>
    <x v="0"/>
    <x v="0"/>
    <x v="0"/>
  </r>
  <r>
    <n v="24"/>
    <x v="0"/>
    <x v="0"/>
    <x v="1"/>
    <x v="2"/>
    <x v="2"/>
    <x v="1"/>
    <n v="2"/>
    <x v="1"/>
    <n v="12.9343"/>
    <n v="77.604399999999998"/>
    <n v="560029"/>
    <x v="0"/>
    <x v="0"/>
    <x v="0"/>
  </r>
  <r>
    <n v="22"/>
    <x v="0"/>
    <x v="0"/>
    <x v="0"/>
    <x v="0"/>
    <x v="0"/>
    <x v="1"/>
    <n v="3"/>
    <x v="1"/>
    <n v="12.9343"/>
    <n v="77.604399999999998"/>
    <n v="560029"/>
    <x v="0"/>
    <x v="0"/>
    <x v="0"/>
  </r>
  <r>
    <n v="19"/>
    <x v="0"/>
    <x v="1"/>
    <x v="0"/>
    <x v="0"/>
    <x v="0"/>
    <x v="1"/>
    <n v="6"/>
    <x v="0"/>
    <n v="12.9442"/>
    <n v="77.607600000000005"/>
    <n v="560030"/>
    <x v="0"/>
    <x v="0"/>
    <x v="0"/>
  </r>
  <r>
    <n v="25"/>
    <x v="1"/>
    <x v="1"/>
    <x v="1"/>
    <x v="1"/>
    <x v="2"/>
    <x v="0"/>
    <n v="6"/>
    <x v="0"/>
    <n v="12.9442"/>
    <n v="77.607600000000005"/>
    <n v="560030"/>
    <x v="0"/>
    <x v="0"/>
    <x v="0"/>
  </r>
  <r>
    <n v="23"/>
    <x v="0"/>
    <x v="0"/>
    <x v="1"/>
    <x v="3"/>
    <x v="0"/>
    <x v="4"/>
    <n v="6"/>
    <x v="0"/>
    <n v="12.9442"/>
    <n v="77.607600000000005"/>
    <n v="560030"/>
    <x v="0"/>
    <x v="0"/>
    <x v="0"/>
  </r>
  <r>
    <n v="23"/>
    <x v="0"/>
    <x v="0"/>
    <x v="0"/>
    <x v="0"/>
    <x v="0"/>
    <x v="1"/>
    <n v="2"/>
    <x v="1"/>
    <n v="13.0298"/>
    <n v="77.604699999999994"/>
    <n v="560032"/>
    <x v="1"/>
    <x v="1"/>
    <x v="1"/>
  </r>
  <r>
    <n v="23"/>
    <x v="0"/>
    <x v="1"/>
    <x v="0"/>
    <x v="0"/>
    <x v="0"/>
    <x v="0"/>
    <n v="2"/>
    <x v="1"/>
    <n v="12.9261"/>
    <n v="77.622100000000003"/>
    <n v="560034"/>
    <x v="0"/>
    <x v="0"/>
    <x v="0"/>
  </r>
  <r>
    <n v="24"/>
    <x v="0"/>
    <x v="1"/>
    <x v="0"/>
    <x v="0"/>
    <x v="0"/>
    <x v="0"/>
    <n v="5"/>
    <x v="0"/>
    <n v="12.9621"/>
    <n v="77.537599999999998"/>
    <n v="560104"/>
    <x v="0"/>
    <x v="0"/>
    <x v="0"/>
  </r>
  <r>
    <n v="22"/>
    <x v="0"/>
    <x v="0"/>
    <x v="0"/>
    <x v="1"/>
    <x v="4"/>
    <x v="1"/>
    <n v="4"/>
    <x v="0"/>
    <n v="12.884499999999999"/>
    <n v="77.6036"/>
    <n v="560076"/>
    <x v="0"/>
    <x v="0"/>
    <x v="0"/>
  </r>
  <r>
    <n v="26"/>
    <x v="1"/>
    <x v="1"/>
    <x v="1"/>
    <x v="1"/>
    <x v="2"/>
    <x v="1"/>
    <n v="4"/>
    <x v="0"/>
    <n v="12.9048"/>
    <n v="77.682100000000005"/>
    <n v="560036"/>
    <x v="0"/>
    <x v="0"/>
    <x v="0"/>
  </r>
  <r>
    <n v="25"/>
    <x v="1"/>
    <x v="0"/>
    <x v="0"/>
    <x v="0"/>
    <x v="0"/>
    <x v="2"/>
    <n v="3"/>
    <x v="1"/>
    <n v="12.9048"/>
    <n v="77.682100000000005"/>
    <n v="560036"/>
    <x v="0"/>
    <x v="0"/>
    <x v="0"/>
  </r>
  <r>
    <n v="20"/>
    <x v="0"/>
    <x v="1"/>
    <x v="0"/>
    <x v="0"/>
    <x v="0"/>
    <x v="1"/>
    <n v="2"/>
    <x v="1"/>
    <n v="12.9261"/>
    <n v="77.622100000000003"/>
    <n v="560034"/>
    <x v="0"/>
    <x v="0"/>
    <x v="0"/>
  </r>
  <r>
    <n v="29"/>
    <x v="1"/>
    <x v="1"/>
    <x v="1"/>
    <x v="1"/>
    <x v="4"/>
    <x v="1"/>
    <n v="4"/>
    <x v="0"/>
    <n v="12.9261"/>
    <n v="77.622100000000003"/>
    <n v="560034"/>
    <x v="1"/>
    <x v="1"/>
    <x v="1"/>
  </r>
  <r>
    <n v="23"/>
    <x v="0"/>
    <x v="0"/>
    <x v="0"/>
    <x v="0"/>
    <x v="0"/>
    <x v="1"/>
    <n v="1"/>
    <x v="2"/>
    <n v="12.977"/>
    <n v="77.577299999999994"/>
    <n v="560009"/>
    <x v="0"/>
    <x v="0"/>
    <x v="0"/>
  </r>
  <r>
    <n v="25"/>
    <x v="1"/>
    <x v="1"/>
    <x v="0"/>
    <x v="2"/>
    <x v="2"/>
    <x v="1"/>
    <n v="2"/>
    <x v="1"/>
    <n v="12.978300000000001"/>
    <n v="77.640799999999999"/>
    <n v="560038"/>
    <x v="0"/>
    <x v="0"/>
    <x v="0"/>
  </r>
  <r>
    <n v="29"/>
    <x v="1"/>
    <x v="0"/>
    <x v="1"/>
    <x v="1"/>
    <x v="4"/>
    <x v="1"/>
    <n v="4"/>
    <x v="0"/>
    <n v="12.978300000000001"/>
    <n v="77.640799999999999"/>
    <n v="560038"/>
    <x v="1"/>
    <x v="1"/>
    <x v="1"/>
  </r>
  <r>
    <n v="27"/>
    <x v="1"/>
    <x v="1"/>
    <x v="1"/>
    <x v="2"/>
    <x v="4"/>
    <x v="1"/>
    <n v="6"/>
    <x v="0"/>
    <n v="12.9217"/>
    <n v="77.593599999999995"/>
    <n v="560041"/>
    <x v="1"/>
    <x v="1"/>
    <x v="1"/>
  </r>
  <r>
    <n v="25"/>
    <x v="1"/>
    <x v="1"/>
    <x v="0"/>
    <x v="2"/>
    <x v="3"/>
    <x v="1"/>
    <n v="3"/>
    <x v="1"/>
    <n v="13.0206"/>
    <n v="77.647900000000007"/>
    <n v="560043"/>
    <x v="0"/>
    <x v="0"/>
    <x v="0"/>
  </r>
  <r>
    <n v="21"/>
    <x v="0"/>
    <x v="1"/>
    <x v="0"/>
    <x v="0"/>
    <x v="0"/>
    <x v="1"/>
    <n v="2"/>
    <x v="1"/>
    <n v="13.001200000000001"/>
    <n v="77.599500000000006"/>
    <n v="560046"/>
    <x v="1"/>
    <x v="1"/>
    <x v="1"/>
  </r>
  <r>
    <n v="23"/>
    <x v="0"/>
    <x v="1"/>
    <x v="0"/>
    <x v="0"/>
    <x v="0"/>
    <x v="1"/>
    <n v="3"/>
    <x v="1"/>
    <n v="13.0223"/>
    <n v="77.713200000000001"/>
    <n v="560049"/>
    <x v="0"/>
    <x v="0"/>
    <x v="0"/>
  </r>
  <r>
    <n v="24"/>
    <x v="0"/>
    <x v="0"/>
    <x v="0"/>
    <x v="1"/>
    <x v="3"/>
    <x v="0"/>
    <n v="4"/>
    <x v="0"/>
    <n v="12.9337"/>
    <n v="77.59"/>
    <n v="560011"/>
    <x v="0"/>
    <x v="0"/>
    <x v="0"/>
  </r>
  <r>
    <n v="32"/>
    <x v="2"/>
    <x v="1"/>
    <x v="1"/>
    <x v="2"/>
    <x v="3"/>
    <x v="4"/>
    <n v="3"/>
    <x v="1"/>
    <n v="12.981999999999999"/>
    <n v="77.625600000000006"/>
    <n v="560008"/>
    <x v="0"/>
    <x v="1"/>
    <x v="1"/>
  </r>
  <r>
    <n v="28"/>
    <x v="1"/>
    <x v="1"/>
    <x v="1"/>
    <x v="1"/>
    <x v="4"/>
    <x v="0"/>
    <n v="5"/>
    <x v="0"/>
    <n v="13.026199999999999"/>
    <n v="77.62"/>
    <n v="560045"/>
    <x v="0"/>
    <x v="0"/>
    <x v="0"/>
  </r>
  <r>
    <n v="26"/>
    <x v="1"/>
    <x v="1"/>
    <x v="0"/>
    <x v="1"/>
    <x v="3"/>
    <x v="1"/>
    <n v="2"/>
    <x v="1"/>
    <n v="12.9217"/>
    <n v="77.593599999999995"/>
    <n v="560041"/>
    <x v="1"/>
    <x v="1"/>
    <x v="1"/>
  </r>
  <r>
    <n v="31"/>
    <x v="2"/>
    <x v="0"/>
    <x v="1"/>
    <x v="3"/>
    <x v="0"/>
    <x v="1"/>
    <n v="5"/>
    <x v="0"/>
    <n v="13.0078"/>
    <n v="77.557699999999997"/>
    <n v="560055"/>
    <x v="0"/>
    <x v="0"/>
    <x v="0"/>
  </r>
  <r>
    <n v="27"/>
    <x v="1"/>
    <x v="0"/>
    <x v="1"/>
    <x v="2"/>
    <x v="4"/>
    <x v="1"/>
    <n v="3"/>
    <x v="1"/>
    <n v="13.0078"/>
    <n v="77.557699999999997"/>
    <n v="560055"/>
    <x v="0"/>
    <x v="0"/>
    <x v="0"/>
  </r>
  <r>
    <n v="21"/>
    <x v="0"/>
    <x v="0"/>
    <x v="0"/>
    <x v="0"/>
    <x v="0"/>
    <x v="0"/>
    <n v="1"/>
    <x v="2"/>
    <n v="12.9217"/>
    <n v="77.593599999999995"/>
    <n v="560041"/>
    <x v="0"/>
    <x v="0"/>
    <x v="0"/>
  </r>
  <r>
    <n v="23"/>
    <x v="0"/>
    <x v="0"/>
    <x v="0"/>
    <x v="0"/>
    <x v="0"/>
    <x v="1"/>
    <n v="2"/>
    <x v="1"/>
    <n v="12.910500000000001"/>
    <n v="77.484200000000001"/>
    <n v="560060"/>
    <x v="1"/>
    <x v="0"/>
    <x v="2"/>
  </r>
  <r>
    <n v="26"/>
    <x v="1"/>
    <x v="1"/>
    <x v="1"/>
    <x v="1"/>
    <x v="3"/>
    <x v="1"/>
    <n v="4"/>
    <x v="0"/>
    <n v="12.910500000000001"/>
    <n v="77.484200000000001"/>
    <n v="560060"/>
    <x v="1"/>
    <x v="0"/>
    <x v="2"/>
  </r>
  <r>
    <n v="32"/>
    <x v="2"/>
    <x v="1"/>
    <x v="1"/>
    <x v="1"/>
    <x v="2"/>
    <x v="1"/>
    <n v="5"/>
    <x v="0"/>
    <n v="12.903700000000001"/>
    <n v="77.537599999999998"/>
    <n v="560061"/>
    <x v="0"/>
    <x v="0"/>
    <x v="0"/>
  </r>
  <r>
    <n v="25"/>
    <x v="1"/>
    <x v="0"/>
    <x v="1"/>
    <x v="0"/>
    <x v="0"/>
    <x v="0"/>
    <n v="2"/>
    <x v="1"/>
    <n v="12.8834"/>
    <n v="77.548599999999993"/>
    <n v="560062"/>
    <x v="0"/>
    <x v="0"/>
    <x v="0"/>
  </r>
  <r>
    <n v="28"/>
    <x v="1"/>
    <x v="1"/>
    <x v="0"/>
    <x v="2"/>
    <x v="3"/>
    <x v="0"/>
    <n v="2"/>
    <x v="1"/>
    <n v="12.914899999999999"/>
    <n v="77.563500000000005"/>
    <n v="560070"/>
    <x v="0"/>
    <x v="0"/>
    <x v="0"/>
  </r>
  <r>
    <n v="21"/>
    <x v="0"/>
    <x v="0"/>
    <x v="0"/>
    <x v="0"/>
    <x v="0"/>
    <x v="0"/>
    <n v="3"/>
    <x v="1"/>
    <n v="12.914899999999999"/>
    <n v="77.563500000000005"/>
    <n v="560070"/>
    <x v="0"/>
    <x v="0"/>
    <x v="0"/>
  </r>
  <r>
    <n v="24"/>
    <x v="0"/>
    <x v="1"/>
    <x v="0"/>
    <x v="0"/>
    <x v="0"/>
    <x v="0"/>
    <n v="2"/>
    <x v="1"/>
    <n v="12.970599999999999"/>
    <n v="77.652900000000002"/>
    <n v="560075"/>
    <x v="0"/>
    <x v="0"/>
    <x v="0"/>
  </r>
  <r>
    <n v="26"/>
    <x v="1"/>
    <x v="0"/>
    <x v="1"/>
    <x v="2"/>
    <x v="3"/>
    <x v="1"/>
    <n v="5"/>
    <x v="0"/>
    <n v="12.970599999999999"/>
    <n v="77.652900000000002"/>
    <n v="560075"/>
    <x v="1"/>
    <x v="1"/>
    <x v="1"/>
  </r>
  <r>
    <n v="32"/>
    <x v="2"/>
    <x v="1"/>
    <x v="1"/>
    <x v="1"/>
    <x v="4"/>
    <x v="1"/>
    <n v="3"/>
    <x v="1"/>
    <n v="12.970599999999999"/>
    <n v="77.652900000000002"/>
    <n v="560075"/>
    <x v="0"/>
    <x v="0"/>
    <x v="0"/>
  </r>
  <r>
    <n v="29"/>
    <x v="1"/>
    <x v="1"/>
    <x v="0"/>
    <x v="2"/>
    <x v="2"/>
    <x v="1"/>
    <n v="6"/>
    <x v="0"/>
    <n v="12.884499999999999"/>
    <n v="77.6036"/>
    <n v="560076"/>
    <x v="0"/>
    <x v="0"/>
    <x v="0"/>
  </r>
  <r>
    <n v="21"/>
    <x v="0"/>
    <x v="1"/>
    <x v="0"/>
    <x v="0"/>
    <x v="0"/>
    <x v="1"/>
    <n v="5"/>
    <x v="0"/>
    <n v="12.978300000000001"/>
    <n v="77.640799999999999"/>
    <n v="560038"/>
    <x v="0"/>
    <x v="0"/>
    <x v="0"/>
  </r>
  <r>
    <n v="24"/>
    <x v="0"/>
    <x v="0"/>
    <x v="0"/>
    <x v="2"/>
    <x v="4"/>
    <x v="0"/>
    <n v="3"/>
    <x v="1"/>
    <n v="13.010300000000001"/>
    <n v="77.579599999999999"/>
    <n v="560080"/>
    <x v="1"/>
    <x v="1"/>
    <x v="1"/>
  </r>
  <r>
    <n v="26"/>
    <x v="1"/>
    <x v="1"/>
    <x v="2"/>
    <x v="2"/>
    <x v="2"/>
    <x v="0"/>
    <n v="2"/>
    <x v="1"/>
    <n v="13.010300000000001"/>
    <n v="77.579599999999999"/>
    <n v="560080"/>
    <x v="0"/>
    <x v="0"/>
    <x v="0"/>
  </r>
  <r>
    <n v="25"/>
    <x v="1"/>
    <x v="1"/>
    <x v="1"/>
    <x v="1"/>
    <x v="2"/>
    <x v="2"/>
    <n v="3"/>
    <x v="1"/>
    <n v="12.9306"/>
    <n v="77.543400000000005"/>
    <n v="560085"/>
    <x v="0"/>
    <x v="0"/>
    <x v="0"/>
  </r>
  <r>
    <n v="29"/>
    <x v="1"/>
    <x v="1"/>
    <x v="0"/>
    <x v="1"/>
    <x v="4"/>
    <x v="1"/>
    <n v="3"/>
    <x v="1"/>
    <n v="13.0641"/>
    <n v="77.593100000000007"/>
    <n v="560092"/>
    <x v="1"/>
    <x v="1"/>
    <x v="1"/>
  </r>
  <r>
    <n v="22"/>
    <x v="0"/>
    <x v="1"/>
    <x v="0"/>
    <x v="0"/>
    <x v="0"/>
    <x v="1"/>
    <n v="3"/>
    <x v="1"/>
    <n v="13.0158"/>
    <n v="77.539000000000001"/>
    <n v="560096"/>
    <x v="0"/>
    <x v="0"/>
    <x v="0"/>
  </r>
  <r>
    <n v="24"/>
    <x v="0"/>
    <x v="1"/>
    <x v="0"/>
    <x v="0"/>
    <x v="0"/>
    <x v="1"/>
    <n v="2"/>
    <x v="1"/>
    <n v="12.956099999999999"/>
    <n v="77.592100000000002"/>
    <n v="560027"/>
    <x v="0"/>
    <x v="0"/>
    <x v="0"/>
  </r>
  <r>
    <n v="27"/>
    <x v="1"/>
    <x v="1"/>
    <x v="1"/>
    <x v="1"/>
    <x v="4"/>
    <x v="1"/>
    <n v="2"/>
    <x v="1"/>
    <n v="12.884499999999999"/>
    <n v="77.6036"/>
    <n v="560076"/>
    <x v="0"/>
    <x v="0"/>
    <x v="0"/>
  </r>
  <r>
    <n v="23"/>
    <x v="0"/>
    <x v="0"/>
    <x v="0"/>
    <x v="0"/>
    <x v="0"/>
    <x v="0"/>
    <n v="3"/>
    <x v="1"/>
    <n v="12.9369"/>
    <n v="77.640699999999995"/>
    <n v="560095"/>
    <x v="1"/>
    <x v="0"/>
    <x v="2"/>
  </r>
  <r>
    <n v="32"/>
    <x v="2"/>
    <x v="1"/>
    <x v="1"/>
    <x v="1"/>
    <x v="2"/>
    <x v="0"/>
    <n v="6"/>
    <x v="0"/>
    <n v="12.9369"/>
    <n v="77.640699999999995"/>
    <n v="560095"/>
    <x v="0"/>
    <x v="0"/>
    <x v="0"/>
  </r>
  <r>
    <n v="22"/>
    <x v="0"/>
    <x v="0"/>
    <x v="0"/>
    <x v="0"/>
    <x v="0"/>
    <x v="1"/>
    <n v="2"/>
    <x v="1"/>
    <n v="12.9369"/>
    <n v="77.640699999999995"/>
    <n v="560095"/>
    <x v="0"/>
    <x v="0"/>
    <x v="0"/>
  </r>
  <r>
    <n v="28"/>
    <x v="1"/>
    <x v="1"/>
    <x v="1"/>
    <x v="1"/>
    <x v="4"/>
    <x v="1"/>
    <n v="3"/>
    <x v="1"/>
    <n v="12.9369"/>
    <n v="77.640699999999995"/>
    <n v="560095"/>
    <x v="0"/>
    <x v="0"/>
    <x v="0"/>
  </r>
  <r>
    <n v="23"/>
    <x v="0"/>
    <x v="0"/>
    <x v="0"/>
    <x v="0"/>
    <x v="0"/>
    <x v="0"/>
    <n v="2"/>
    <x v="1"/>
    <n v="13.0158"/>
    <n v="77.539000000000001"/>
    <n v="560096"/>
    <x v="0"/>
    <x v="0"/>
    <x v="0"/>
  </r>
  <r>
    <n v="30"/>
    <x v="2"/>
    <x v="1"/>
    <x v="1"/>
    <x v="2"/>
    <x v="2"/>
    <x v="1"/>
    <n v="1"/>
    <x v="2"/>
    <n v="13.0809"/>
    <n v="77.5565"/>
    <n v="560097"/>
    <x v="1"/>
    <x v="1"/>
    <x v="1"/>
  </r>
  <r>
    <n v="21"/>
    <x v="0"/>
    <x v="1"/>
    <x v="0"/>
    <x v="0"/>
    <x v="0"/>
    <x v="1"/>
    <n v="3"/>
    <x v="1"/>
    <n v="13.0641"/>
    <n v="77.593100000000007"/>
    <n v="560092"/>
    <x v="0"/>
    <x v="0"/>
    <x v="0"/>
  </r>
  <r>
    <n v="26"/>
    <x v="1"/>
    <x v="0"/>
    <x v="1"/>
    <x v="1"/>
    <x v="1"/>
    <x v="1"/>
    <n v="6"/>
    <x v="0"/>
    <n v="12.985900000000001"/>
    <n v="77.671300000000002"/>
    <n v="560093"/>
    <x v="1"/>
    <x v="1"/>
    <x v="1"/>
  </r>
  <r>
    <n v="25"/>
    <x v="1"/>
    <x v="1"/>
    <x v="0"/>
    <x v="2"/>
    <x v="2"/>
    <x v="4"/>
    <n v="3"/>
    <x v="1"/>
    <n v="12.985900000000001"/>
    <n v="77.671300000000002"/>
    <n v="560093"/>
    <x v="0"/>
    <x v="0"/>
    <x v="0"/>
  </r>
  <r>
    <n v="31"/>
    <x v="2"/>
    <x v="1"/>
    <x v="2"/>
    <x v="1"/>
    <x v="1"/>
    <x v="1"/>
    <n v="1"/>
    <x v="2"/>
    <n v="12.986599999999999"/>
    <n v="77.490399999999994"/>
    <n v="560091"/>
    <x v="1"/>
    <x v="1"/>
    <x v="1"/>
  </r>
  <r>
    <n v="23"/>
    <x v="0"/>
    <x v="0"/>
    <x v="0"/>
    <x v="1"/>
    <x v="4"/>
    <x v="0"/>
    <n v="2"/>
    <x v="1"/>
    <n v="12.9847"/>
    <n v="77.549099999999996"/>
    <n v="560100"/>
    <x v="0"/>
    <x v="0"/>
    <x v="0"/>
  </r>
  <r>
    <n v="29"/>
    <x v="1"/>
    <x v="0"/>
    <x v="1"/>
    <x v="1"/>
    <x v="4"/>
    <x v="2"/>
    <n v="3"/>
    <x v="1"/>
    <n v="12.9847"/>
    <n v="77.549099999999996"/>
    <n v="560100"/>
    <x v="0"/>
    <x v="0"/>
    <x v="0"/>
  </r>
  <r>
    <n v="21"/>
    <x v="0"/>
    <x v="1"/>
    <x v="0"/>
    <x v="0"/>
    <x v="0"/>
    <x v="1"/>
    <n v="6"/>
    <x v="0"/>
    <n v="12.9847"/>
    <n v="77.549099999999996"/>
    <n v="560100"/>
    <x v="0"/>
    <x v="0"/>
    <x v="0"/>
  </r>
  <r>
    <n v="20"/>
    <x v="0"/>
    <x v="1"/>
    <x v="0"/>
    <x v="0"/>
    <x v="0"/>
    <x v="1"/>
    <n v="3"/>
    <x v="1"/>
    <n v="12.9299"/>
    <n v="77.684799999999996"/>
    <n v="560103"/>
    <x v="0"/>
    <x v="0"/>
    <x v="0"/>
  </r>
  <r>
    <n v="22"/>
    <x v="0"/>
    <x v="1"/>
    <x v="0"/>
    <x v="1"/>
    <x v="3"/>
    <x v="1"/>
    <n v="2"/>
    <x v="1"/>
    <n v="12.9299"/>
    <n v="77.684799999999996"/>
    <n v="560103"/>
    <x v="0"/>
    <x v="0"/>
    <x v="0"/>
  </r>
  <r>
    <n v="30"/>
    <x v="2"/>
    <x v="0"/>
    <x v="1"/>
    <x v="3"/>
    <x v="0"/>
    <x v="4"/>
    <n v="6"/>
    <x v="0"/>
    <n v="12.982799999999999"/>
    <n v="77.613100000000003"/>
    <n v="560042"/>
    <x v="1"/>
    <x v="0"/>
    <x v="2"/>
  </r>
  <r>
    <n v="27"/>
    <x v="1"/>
    <x v="1"/>
    <x v="1"/>
    <x v="2"/>
    <x v="2"/>
    <x v="1"/>
    <n v="3"/>
    <x v="1"/>
    <n v="12.989000000000001"/>
    <n v="77.533199999999994"/>
    <n v="560079"/>
    <x v="0"/>
    <x v="0"/>
    <x v="0"/>
  </r>
  <r>
    <n v="23"/>
    <x v="0"/>
    <x v="1"/>
    <x v="0"/>
    <x v="0"/>
    <x v="0"/>
    <x v="0"/>
    <n v="2"/>
    <x v="1"/>
    <n v="12.977"/>
    <n v="77.577299999999994"/>
    <n v="560009"/>
    <x v="1"/>
    <x v="1"/>
    <x v="1"/>
  </r>
  <r>
    <n v="30"/>
    <x v="2"/>
    <x v="1"/>
    <x v="1"/>
    <x v="2"/>
    <x v="4"/>
    <x v="4"/>
    <n v="6"/>
    <x v="0"/>
    <n v="12.9251"/>
    <n v="77.499200000000002"/>
    <n v="560059"/>
    <x v="1"/>
    <x v="1"/>
    <x v="1"/>
  </r>
  <r>
    <n v="23"/>
    <x v="0"/>
    <x v="1"/>
    <x v="0"/>
    <x v="0"/>
    <x v="0"/>
    <x v="0"/>
    <n v="3"/>
    <x v="1"/>
    <n v="12.996700000000001"/>
    <n v="77.758200000000002"/>
    <n v="560067"/>
    <x v="0"/>
    <x v="0"/>
    <x v="0"/>
  </r>
  <r>
    <n v="28"/>
    <x v="1"/>
    <x v="0"/>
    <x v="1"/>
    <x v="1"/>
    <x v="4"/>
    <x v="0"/>
    <n v="6"/>
    <x v="0"/>
    <n v="12.996700000000001"/>
    <n v="77.758200000000002"/>
    <n v="560067"/>
    <x v="1"/>
    <x v="1"/>
    <x v="1"/>
  </r>
  <r>
    <n v="30"/>
    <x v="2"/>
    <x v="1"/>
    <x v="1"/>
    <x v="2"/>
    <x v="2"/>
    <x v="1"/>
    <n v="6"/>
    <x v="0"/>
    <n v="12.996700000000001"/>
    <n v="77.758200000000002"/>
    <n v="560067"/>
    <x v="0"/>
    <x v="0"/>
    <x v="0"/>
  </r>
  <r>
    <n v="24"/>
    <x v="0"/>
    <x v="0"/>
    <x v="1"/>
    <x v="1"/>
    <x v="4"/>
    <x v="0"/>
    <n v="2"/>
    <x v="1"/>
    <n v="12.957000000000001"/>
    <n v="77.563699999999997"/>
    <n v="560018"/>
    <x v="0"/>
    <x v="1"/>
    <x v="1"/>
  </r>
  <r>
    <n v="21"/>
    <x v="0"/>
    <x v="1"/>
    <x v="0"/>
    <x v="0"/>
    <x v="0"/>
    <x v="1"/>
    <n v="2"/>
    <x v="1"/>
    <n v="12.957000000000001"/>
    <n v="77.563699999999997"/>
    <n v="560018"/>
    <x v="1"/>
    <x v="1"/>
    <x v="1"/>
  </r>
  <r>
    <n v="23"/>
    <x v="0"/>
    <x v="0"/>
    <x v="2"/>
    <x v="1"/>
    <x v="3"/>
    <x v="1"/>
    <n v="3"/>
    <x v="1"/>
    <n v="12.988899999999999"/>
    <n v="77.574100000000001"/>
    <n v="560020"/>
    <x v="1"/>
    <x v="1"/>
    <x v="1"/>
  </r>
  <r>
    <n v="25"/>
    <x v="1"/>
    <x v="1"/>
    <x v="1"/>
    <x v="2"/>
    <x v="2"/>
    <x v="0"/>
    <n v="4"/>
    <x v="0"/>
    <n v="13.0206"/>
    <n v="77.647900000000007"/>
    <n v="560043"/>
    <x v="0"/>
    <x v="0"/>
    <x v="0"/>
  </r>
  <r>
    <n v="24"/>
    <x v="0"/>
    <x v="0"/>
    <x v="0"/>
    <x v="1"/>
    <x v="4"/>
    <x v="1"/>
    <n v="2"/>
    <x v="1"/>
    <n v="12.8893"/>
    <n v="77.639899999999997"/>
    <n v="560068"/>
    <x v="0"/>
    <x v="0"/>
    <x v="0"/>
  </r>
  <r>
    <n v="26"/>
    <x v="1"/>
    <x v="1"/>
    <x v="1"/>
    <x v="1"/>
    <x v="3"/>
    <x v="1"/>
    <n v="3"/>
    <x v="1"/>
    <n v="12.8893"/>
    <n v="77.639899999999997"/>
    <n v="560068"/>
    <x v="1"/>
    <x v="1"/>
    <x v="1"/>
  </r>
  <r>
    <n v="25"/>
    <x v="1"/>
    <x v="0"/>
    <x v="0"/>
    <x v="1"/>
    <x v="4"/>
    <x v="0"/>
    <n v="2"/>
    <x v="1"/>
    <n v="12.996700000000001"/>
    <n v="77.758200000000002"/>
    <n v="560067"/>
    <x v="0"/>
    <x v="0"/>
    <x v="0"/>
  </r>
  <r>
    <n v="22"/>
    <x v="0"/>
    <x v="1"/>
    <x v="0"/>
    <x v="0"/>
    <x v="4"/>
    <x v="1"/>
    <n v="3"/>
    <x v="1"/>
    <n v="12.978300000000001"/>
    <n v="77.640799999999999"/>
    <n v="560038"/>
    <x v="0"/>
    <x v="0"/>
    <x v="0"/>
  </r>
  <r>
    <n v="26"/>
    <x v="1"/>
    <x v="0"/>
    <x v="0"/>
    <x v="1"/>
    <x v="4"/>
    <x v="0"/>
    <n v="2"/>
    <x v="1"/>
    <n v="12.978300000000001"/>
    <n v="77.640799999999999"/>
    <n v="560038"/>
    <x v="0"/>
    <x v="0"/>
    <x v="0"/>
  </r>
  <r>
    <n v="23"/>
    <x v="0"/>
    <x v="1"/>
    <x v="0"/>
    <x v="1"/>
    <x v="3"/>
    <x v="1"/>
    <n v="2"/>
    <x v="1"/>
    <n v="12.9925"/>
    <n v="77.563299999999998"/>
    <n v="560021"/>
    <x v="0"/>
    <x v="0"/>
    <x v="0"/>
  </r>
  <r>
    <n v="21"/>
    <x v="0"/>
    <x v="0"/>
    <x v="0"/>
    <x v="1"/>
    <x v="1"/>
    <x v="1"/>
    <n v="2"/>
    <x v="1"/>
    <n v="12.9925"/>
    <n v="77.563299999999998"/>
    <n v="560021"/>
    <x v="1"/>
    <x v="1"/>
    <x v="1"/>
  </r>
  <r>
    <n v="25"/>
    <x v="1"/>
    <x v="1"/>
    <x v="1"/>
    <x v="2"/>
    <x v="4"/>
    <x v="1"/>
    <n v="3"/>
    <x v="1"/>
    <n v="12.956099999999999"/>
    <n v="77.592100000000002"/>
    <n v="560027"/>
    <x v="0"/>
    <x v="0"/>
    <x v="0"/>
  </r>
  <r>
    <n v="24"/>
    <x v="0"/>
    <x v="0"/>
    <x v="1"/>
    <x v="1"/>
    <x v="3"/>
    <x v="0"/>
    <n v="2"/>
    <x v="1"/>
    <n v="12.956099999999999"/>
    <n v="77.592100000000002"/>
    <n v="560027"/>
    <x v="0"/>
    <x v="0"/>
    <x v="0"/>
  </r>
  <r>
    <n v="22"/>
    <x v="0"/>
    <x v="1"/>
    <x v="1"/>
    <x v="0"/>
    <x v="0"/>
    <x v="1"/>
    <n v="2"/>
    <x v="1"/>
    <n v="13.073399999999999"/>
    <n v="77.546400000000006"/>
    <n v="560014"/>
    <x v="0"/>
    <x v="0"/>
    <x v="0"/>
  </r>
  <r>
    <n v="23"/>
    <x v="0"/>
    <x v="0"/>
    <x v="0"/>
    <x v="0"/>
    <x v="0"/>
    <x v="0"/>
    <n v="4"/>
    <x v="0"/>
    <n v="13.0487"/>
    <n v="77.592299999999994"/>
    <n v="560024"/>
    <x v="0"/>
    <x v="0"/>
    <x v="0"/>
  </r>
  <r>
    <n v="24"/>
    <x v="0"/>
    <x v="1"/>
    <x v="1"/>
    <x v="1"/>
    <x v="2"/>
    <x v="0"/>
    <n v="3"/>
    <x v="1"/>
    <n v="12.951499999999999"/>
    <n v="77.492099999999994"/>
    <n v="560056"/>
    <x v="0"/>
    <x v="0"/>
    <x v="0"/>
  </r>
  <r>
    <n v="22"/>
    <x v="0"/>
    <x v="0"/>
    <x v="0"/>
    <x v="0"/>
    <x v="0"/>
    <x v="1"/>
    <n v="2"/>
    <x v="1"/>
    <n v="12.951499999999999"/>
    <n v="77.492099999999994"/>
    <n v="560056"/>
    <x v="0"/>
    <x v="0"/>
    <x v="0"/>
  </r>
  <r>
    <n v="30"/>
    <x v="2"/>
    <x v="1"/>
    <x v="1"/>
    <x v="1"/>
    <x v="2"/>
    <x v="1"/>
    <n v="5"/>
    <x v="0"/>
    <n v="12.9719"/>
    <n v="77.512799999999999"/>
    <n v="560072"/>
    <x v="1"/>
    <x v="1"/>
    <x v="1"/>
  </r>
  <r>
    <n v="23"/>
    <x v="0"/>
    <x v="0"/>
    <x v="2"/>
    <x v="1"/>
    <x v="3"/>
    <x v="1"/>
    <n v="4"/>
    <x v="0"/>
    <n v="12.9048"/>
    <n v="77.682100000000005"/>
    <n v="560036"/>
    <x v="0"/>
    <x v="0"/>
    <x v="0"/>
  </r>
  <r>
    <n v="19"/>
    <x v="0"/>
    <x v="1"/>
    <x v="0"/>
    <x v="0"/>
    <x v="0"/>
    <x v="1"/>
    <n v="6"/>
    <x v="0"/>
    <n v="12.9048"/>
    <n v="77.682100000000005"/>
    <n v="560036"/>
    <x v="0"/>
    <x v="0"/>
    <x v="0"/>
  </r>
  <r>
    <n v="21"/>
    <x v="0"/>
    <x v="0"/>
    <x v="0"/>
    <x v="0"/>
    <x v="0"/>
    <x v="1"/>
    <n v="2"/>
    <x v="1"/>
    <n v="13.010300000000001"/>
    <n v="77.579599999999999"/>
    <n v="560080"/>
    <x v="0"/>
    <x v="0"/>
    <x v="0"/>
  </r>
  <r>
    <n v="23"/>
    <x v="0"/>
    <x v="1"/>
    <x v="0"/>
    <x v="0"/>
    <x v="0"/>
    <x v="1"/>
    <n v="4"/>
    <x v="0"/>
    <n v="13.010300000000001"/>
    <n v="77.579599999999999"/>
    <n v="560080"/>
    <x v="0"/>
    <x v="0"/>
    <x v="0"/>
  </r>
  <r>
    <n v="24"/>
    <x v="0"/>
    <x v="0"/>
    <x v="0"/>
    <x v="1"/>
    <x v="4"/>
    <x v="1"/>
    <n v="3"/>
    <x v="1"/>
    <n v="12.8893"/>
    <n v="77.639899999999997"/>
    <n v="560068"/>
    <x v="0"/>
    <x v="0"/>
    <x v="0"/>
  </r>
  <r>
    <n v="26"/>
    <x v="1"/>
    <x v="0"/>
    <x v="1"/>
    <x v="1"/>
    <x v="3"/>
    <x v="0"/>
    <n v="2"/>
    <x v="1"/>
    <n v="12.982799999999999"/>
    <n v="77.613100000000003"/>
    <n v="560042"/>
    <x v="1"/>
    <x v="0"/>
    <x v="2"/>
  </r>
  <r>
    <n v="26"/>
    <x v="1"/>
    <x v="0"/>
    <x v="0"/>
    <x v="0"/>
    <x v="0"/>
    <x v="2"/>
    <n v="2"/>
    <x v="1"/>
    <n v="12.9757"/>
    <n v="77.558599999999998"/>
    <n v="560023"/>
    <x v="0"/>
    <x v="0"/>
    <x v="0"/>
  </r>
  <r>
    <n v="25"/>
    <x v="1"/>
    <x v="0"/>
    <x v="0"/>
    <x v="0"/>
    <x v="3"/>
    <x v="1"/>
    <n v="2"/>
    <x v="1"/>
    <n v="12.9757"/>
    <n v="77.558599999999998"/>
    <n v="560023"/>
    <x v="0"/>
    <x v="0"/>
    <x v="0"/>
  </r>
  <r>
    <n v="28"/>
    <x v="1"/>
    <x v="0"/>
    <x v="1"/>
    <x v="1"/>
    <x v="4"/>
    <x v="1"/>
    <n v="5"/>
    <x v="0"/>
    <n v="12.9757"/>
    <n v="77.558599999999998"/>
    <n v="560023"/>
    <x v="1"/>
    <x v="1"/>
    <x v="1"/>
  </r>
  <r>
    <n v="25"/>
    <x v="1"/>
    <x v="0"/>
    <x v="0"/>
    <x v="0"/>
    <x v="0"/>
    <x v="0"/>
    <n v="3"/>
    <x v="1"/>
    <n v="13.073399999999999"/>
    <n v="77.546400000000006"/>
    <n v="560014"/>
    <x v="0"/>
    <x v="0"/>
    <x v="0"/>
  </r>
  <r>
    <n v="20"/>
    <x v="0"/>
    <x v="0"/>
    <x v="0"/>
    <x v="0"/>
    <x v="0"/>
    <x v="1"/>
    <n v="2"/>
    <x v="1"/>
    <n v="13.073399999999999"/>
    <n v="77.546400000000006"/>
    <n v="560014"/>
    <x v="0"/>
    <x v="0"/>
    <x v="0"/>
  </r>
  <r>
    <n v="27"/>
    <x v="1"/>
    <x v="0"/>
    <x v="1"/>
    <x v="2"/>
    <x v="2"/>
    <x v="1"/>
    <n v="6"/>
    <x v="0"/>
    <n v="13.073399999999999"/>
    <n v="77.546400000000006"/>
    <n v="560014"/>
    <x v="1"/>
    <x v="0"/>
    <x v="2"/>
  </r>
  <r>
    <n v="25"/>
    <x v="1"/>
    <x v="0"/>
    <x v="1"/>
    <x v="1"/>
    <x v="4"/>
    <x v="1"/>
    <n v="3"/>
    <x v="1"/>
    <n v="13.0626"/>
    <n v="77.528400000000005"/>
    <n v="560015"/>
    <x v="1"/>
    <x v="0"/>
    <x v="2"/>
  </r>
  <r>
    <n v="24"/>
    <x v="0"/>
    <x v="0"/>
    <x v="0"/>
    <x v="0"/>
    <x v="0"/>
    <x v="0"/>
    <n v="5"/>
    <x v="0"/>
    <n v="13.0626"/>
    <n v="77.528400000000005"/>
    <n v="560015"/>
    <x v="1"/>
    <x v="1"/>
    <x v="1"/>
  </r>
  <r>
    <n v="25"/>
    <x v="1"/>
    <x v="0"/>
    <x v="1"/>
    <x v="1"/>
    <x v="2"/>
    <x v="1"/>
    <n v="1"/>
    <x v="2"/>
    <n v="12.977"/>
    <n v="77.577299999999994"/>
    <n v="560009"/>
    <x v="1"/>
    <x v="1"/>
    <x v="1"/>
  </r>
  <r>
    <n v="25"/>
    <x v="1"/>
    <x v="0"/>
    <x v="2"/>
    <x v="1"/>
    <x v="4"/>
    <x v="0"/>
    <n v="3"/>
    <x v="1"/>
    <n v="12.997999999999999"/>
    <n v="77.622699999999995"/>
    <n v="560005"/>
    <x v="1"/>
    <x v="1"/>
    <x v="1"/>
  </r>
  <r>
    <n v="24"/>
    <x v="0"/>
    <x v="0"/>
    <x v="1"/>
    <x v="0"/>
    <x v="1"/>
    <x v="2"/>
    <n v="5"/>
    <x v="0"/>
    <n v="13.0626"/>
    <n v="77.528400000000005"/>
    <n v="560015"/>
    <x v="0"/>
    <x v="0"/>
    <x v="0"/>
  </r>
  <r>
    <n v="24"/>
    <x v="0"/>
    <x v="1"/>
    <x v="0"/>
    <x v="0"/>
    <x v="0"/>
    <x v="0"/>
    <n v="3"/>
    <x v="1"/>
    <n v="13.0626"/>
    <n v="77.528400000000005"/>
    <n v="560015"/>
    <x v="0"/>
    <x v="0"/>
    <x v="0"/>
  </r>
  <r>
    <n v="22"/>
    <x v="0"/>
    <x v="1"/>
    <x v="0"/>
    <x v="1"/>
    <x v="3"/>
    <x v="1"/>
    <n v="1"/>
    <x v="2"/>
    <n v="13.0138"/>
    <n v="77.587699999999998"/>
    <n v="560006"/>
    <x v="0"/>
    <x v="0"/>
    <x v="0"/>
  </r>
  <r>
    <n v="28"/>
    <x v="1"/>
    <x v="1"/>
    <x v="0"/>
    <x v="1"/>
    <x v="4"/>
    <x v="0"/>
    <n v="2"/>
    <x v="1"/>
    <n v="13.0138"/>
    <n v="77.587699999999998"/>
    <n v="560006"/>
    <x v="1"/>
    <x v="1"/>
    <x v="1"/>
  </r>
  <r>
    <n v="25"/>
    <x v="1"/>
    <x v="0"/>
    <x v="0"/>
    <x v="1"/>
    <x v="2"/>
    <x v="0"/>
    <n v="6"/>
    <x v="0"/>
    <n v="13.013999999999999"/>
    <n v="77.565799999999996"/>
    <n v="560012"/>
    <x v="1"/>
    <x v="1"/>
    <x v="1"/>
  </r>
  <r>
    <n v="22"/>
    <x v="0"/>
    <x v="1"/>
    <x v="0"/>
    <x v="0"/>
    <x v="1"/>
    <x v="0"/>
    <n v="3"/>
    <x v="1"/>
    <n v="12.9551"/>
    <n v="77.659300000000002"/>
    <n v="560017"/>
    <x v="0"/>
    <x v="1"/>
    <x v="1"/>
  </r>
  <r>
    <n v="22"/>
    <x v="0"/>
    <x v="0"/>
    <x v="0"/>
    <x v="0"/>
    <x v="0"/>
    <x v="1"/>
    <n v="6"/>
    <x v="0"/>
    <n v="12.9473"/>
    <n v="77.561599999999999"/>
    <n v="560019"/>
    <x v="0"/>
    <x v="0"/>
    <x v="0"/>
  </r>
  <r>
    <n v="22"/>
    <x v="0"/>
    <x v="1"/>
    <x v="0"/>
    <x v="0"/>
    <x v="1"/>
    <x v="0"/>
    <n v="4"/>
    <x v="0"/>
    <n v="12.984999999999999"/>
    <n v="77.553299999999993"/>
    <n v="560010"/>
    <x v="0"/>
    <x v="0"/>
    <x v="0"/>
  </r>
  <r>
    <n v="27"/>
    <x v="1"/>
    <x v="0"/>
    <x v="1"/>
    <x v="1"/>
    <x v="2"/>
    <x v="0"/>
    <n v="2"/>
    <x v="1"/>
    <n v="12.9299"/>
    <n v="77.684799999999996"/>
    <n v="560103"/>
    <x v="0"/>
    <x v="0"/>
    <x v="0"/>
  </r>
  <r>
    <n v="22"/>
    <x v="0"/>
    <x v="1"/>
    <x v="0"/>
    <x v="0"/>
    <x v="0"/>
    <x v="1"/>
    <n v="3"/>
    <x v="1"/>
    <n v="12.977"/>
    <n v="77.577299999999994"/>
    <n v="560009"/>
    <x v="0"/>
    <x v="0"/>
    <x v="0"/>
  </r>
  <r>
    <n v="24"/>
    <x v="0"/>
    <x v="0"/>
    <x v="0"/>
    <x v="0"/>
    <x v="0"/>
    <x v="0"/>
    <n v="3"/>
    <x v="1"/>
    <n v="12.982799999999999"/>
    <n v="77.613100000000003"/>
    <n v="560042"/>
    <x v="0"/>
    <x v="0"/>
    <x v="0"/>
  </r>
  <r>
    <n v="23"/>
    <x v="0"/>
    <x v="0"/>
    <x v="0"/>
    <x v="0"/>
    <x v="0"/>
    <x v="0"/>
    <n v="2"/>
    <x v="1"/>
    <n v="12.976599999999999"/>
    <n v="77.599299999999999"/>
    <n v="560001"/>
    <x v="0"/>
    <x v="0"/>
    <x v="0"/>
  </r>
  <r>
    <n v="23"/>
    <x v="0"/>
    <x v="0"/>
    <x v="0"/>
    <x v="0"/>
    <x v="0"/>
    <x v="0"/>
    <n v="4"/>
    <x v="0"/>
    <n v="12.9854"/>
    <n v="77.708100000000002"/>
    <n v="560048"/>
    <x v="0"/>
    <x v="0"/>
    <x v="0"/>
  </r>
  <r>
    <n v="22"/>
    <x v="0"/>
    <x v="0"/>
    <x v="0"/>
    <x v="0"/>
    <x v="0"/>
    <x v="0"/>
    <n v="5"/>
    <x v="0"/>
    <n v="12.984999999999999"/>
    <n v="77.553299999999993"/>
    <n v="560010"/>
    <x v="0"/>
    <x v="0"/>
    <x v="0"/>
  </r>
  <r>
    <n v="23"/>
    <x v="0"/>
    <x v="1"/>
    <x v="0"/>
    <x v="0"/>
    <x v="1"/>
    <x v="0"/>
    <n v="2"/>
    <x v="1"/>
    <n v="12.977"/>
    <n v="77.577299999999994"/>
    <n v="560009"/>
    <x v="0"/>
    <x v="1"/>
    <x v="1"/>
  </r>
  <r>
    <n v="32"/>
    <x v="2"/>
    <x v="1"/>
    <x v="1"/>
    <x v="1"/>
    <x v="2"/>
    <x v="1"/>
    <n v="5"/>
    <x v="0"/>
    <n v="12.903700000000001"/>
    <n v="77.537599999999998"/>
    <n v="560061"/>
    <x v="0"/>
    <x v="0"/>
    <x v="0"/>
  </r>
  <r>
    <n v="25"/>
    <x v="1"/>
    <x v="0"/>
    <x v="1"/>
    <x v="0"/>
    <x v="0"/>
    <x v="0"/>
    <n v="2"/>
    <x v="1"/>
    <n v="12.8834"/>
    <n v="77.548599999999993"/>
    <n v="560062"/>
    <x v="0"/>
    <x v="0"/>
    <x v="0"/>
  </r>
  <r>
    <n v="28"/>
    <x v="1"/>
    <x v="1"/>
    <x v="0"/>
    <x v="2"/>
    <x v="3"/>
    <x v="0"/>
    <n v="2"/>
    <x v="1"/>
    <n v="12.914899999999999"/>
    <n v="77.563500000000005"/>
    <n v="560070"/>
    <x v="0"/>
    <x v="0"/>
    <x v="0"/>
  </r>
  <r>
    <n v="21"/>
    <x v="0"/>
    <x v="0"/>
    <x v="0"/>
    <x v="0"/>
    <x v="0"/>
    <x v="0"/>
    <n v="3"/>
    <x v="1"/>
    <n v="12.914899999999999"/>
    <n v="77.563500000000005"/>
    <n v="560070"/>
    <x v="0"/>
    <x v="0"/>
    <x v="0"/>
  </r>
  <r>
    <n v="24"/>
    <x v="0"/>
    <x v="1"/>
    <x v="0"/>
    <x v="0"/>
    <x v="0"/>
    <x v="0"/>
    <n v="2"/>
    <x v="1"/>
    <n v="12.970599999999999"/>
    <n v="77.652900000000002"/>
    <n v="560075"/>
    <x v="0"/>
    <x v="0"/>
    <x v="0"/>
  </r>
  <r>
    <n v="26"/>
    <x v="1"/>
    <x v="0"/>
    <x v="1"/>
    <x v="2"/>
    <x v="3"/>
    <x v="1"/>
    <n v="5"/>
    <x v="0"/>
    <n v="12.970599999999999"/>
    <n v="77.652900000000002"/>
    <n v="560075"/>
    <x v="1"/>
    <x v="1"/>
    <x v="1"/>
  </r>
  <r>
    <n v="32"/>
    <x v="2"/>
    <x v="1"/>
    <x v="1"/>
    <x v="1"/>
    <x v="4"/>
    <x v="1"/>
    <n v="3"/>
    <x v="1"/>
    <n v="12.970599999999999"/>
    <n v="77.652900000000002"/>
    <n v="560075"/>
    <x v="0"/>
    <x v="0"/>
    <x v="0"/>
  </r>
  <r>
    <n v="29"/>
    <x v="1"/>
    <x v="1"/>
    <x v="0"/>
    <x v="2"/>
    <x v="2"/>
    <x v="1"/>
    <n v="6"/>
    <x v="0"/>
    <n v="12.884499999999999"/>
    <n v="77.6036"/>
    <n v="560076"/>
    <x v="0"/>
    <x v="0"/>
    <x v="0"/>
  </r>
  <r>
    <n v="21"/>
    <x v="0"/>
    <x v="1"/>
    <x v="0"/>
    <x v="0"/>
    <x v="0"/>
    <x v="1"/>
    <n v="5"/>
    <x v="0"/>
    <n v="12.978300000000001"/>
    <n v="77.640799999999999"/>
    <n v="560038"/>
    <x v="0"/>
    <x v="0"/>
    <x v="0"/>
  </r>
  <r>
    <n v="24"/>
    <x v="0"/>
    <x v="0"/>
    <x v="0"/>
    <x v="2"/>
    <x v="4"/>
    <x v="0"/>
    <n v="3"/>
    <x v="1"/>
    <n v="13.010300000000001"/>
    <n v="77.579599999999999"/>
    <n v="560080"/>
    <x v="1"/>
    <x v="1"/>
    <x v="1"/>
  </r>
  <r>
    <n v="26"/>
    <x v="1"/>
    <x v="1"/>
    <x v="2"/>
    <x v="2"/>
    <x v="2"/>
    <x v="0"/>
    <n v="2"/>
    <x v="1"/>
    <n v="13.010300000000001"/>
    <n v="77.579599999999999"/>
    <n v="560080"/>
    <x v="0"/>
    <x v="0"/>
    <x v="0"/>
  </r>
  <r>
    <n v="21"/>
    <x v="0"/>
    <x v="1"/>
    <x v="1"/>
    <x v="1"/>
    <x v="2"/>
    <x v="2"/>
    <n v="3"/>
    <x v="1"/>
    <n v="12.9306"/>
    <n v="77.543400000000005"/>
    <n v="560085"/>
    <x v="0"/>
    <x v="0"/>
    <x v="0"/>
  </r>
  <r>
    <n v="29"/>
    <x v="1"/>
    <x v="1"/>
    <x v="0"/>
    <x v="1"/>
    <x v="4"/>
    <x v="1"/>
    <n v="3"/>
    <x v="1"/>
    <n v="13.0641"/>
    <n v="77.593100000000007"/>
    <n v="560092"/>
    <x v="1"/>
    <x v="1"/>
    <x v="1"/>
  </r>
  <r>
    <n v="22"/>
    <x v="0"/>
    <x v="1"/>
    <x v="0"/>
    <x v="0"/>
    <x v="0"/>
    <x v="1"/>
    <n v="3"/>
    <x v="1"/>
    <n v="13.0158"/>
    <n v="77.539000000000001"/>
    <n v="560096"/>
    <x v="0"/>
    <x v="0"/>
    <x v="0"/>
  </r>
  <r>
    <n v="24"/>
    <x v="0"/>
    <x v="1"/>
    <x v="0"/>
    <x v="0"/>
    <x v="0"/>
    <x v="1"/>
    <n v="2"/>
    <x v="1"/>
    <n v="12.956099999999999"/>
    <n v="77.592100000000002"/>
    <n v="560027"/>
    <x v="0"/>
    <x v="0"/>
    <x v="0"/>
  </r>
  <r>
    <n v="27"/>
    <x v="1"/>
    <x v="1"/>
    <x v="1"/>
    <x v="1"/>
    <x v="4"/>
    <x v="1"/>
    <n v="2"/>
    <x v="1"/>
    <n v="12.884499999999999"/>
    <n v="77.6036"/>
    <n v="560076"/>
    <x v="0"/>
    <x v="0"/>
    <x v="0"/>
  </r>
  <r>
    <n v="23"/>
    <x v="0"/>
    <x v="0"/>
    <x v="0"/>
    <x v="0"/>
    <x v="0"/>
    <x v="0"/>
    <n v="3"/>
    <x v="1"/>
    <n v="12.9369"/>
    <n v="77.640699999999995"/>
    <n v="560095"/>
    <x v="1"/>
    <x v="0"/>
    <x v="2"/>
  </r>
  <r>
    <n v="32"/>
    <x v="2"/>
    <x v="1"/>
    <x v="1"/>
    <x v="1"/>
    <x v="2"/>
    <x v="0"/>
    <n v="6"/>
    <x v="0"/>
    <n v="12.9369"/>
    <n v="77.640699999999995"/>
    <n v="560095"/>
    <x v="0"/>
    <x v="0"/>
    <x v="0"/>
  </r>
  <r>
    <n v="22"/>
    <x v="0"/>
    <x v="0"/>
    <x v="0"/>
    <x v="0"/>
    <x v="0"/>
    <x v="1"/>
    <n v="2"/>
    <x v="1"/>
    <n v="12.9369"/>
    <n v="77.640699999999995"/>
    <n v="560095"/>
    <x v="0"/>
    <x v="0"/>
    <x v="0"/>
  </r>
  <r>
    <n v="22"/>
    <x v="0"/>
    <x v="0"/>
    <x v="0"/>
    <x v="1"/>
    <x v="4"/>
    <x v="1"/>
    <n v="4"/>
    <x v="0"/>
    <n v="12.884499999999999"/>
    <n v="77.6036"/>
    <n v="560076"/>
    <x v="0"/>
    <x v="0"/>
    <x v="0"/>
  </r>
  <r>
    <n v="26"/>
    <x v="1"/>
    <x v="1"/>
    <x v="1"/>
    <x v="1"/>
    <x v="2"/>
    <x v="1"/>
    <n v="4"/>
    <x v="0"/>
    <n v="12.9048"/>
    <n v="77.682100000000005"/>
    <n v="560036"/>
    <x v="0"/>
    <x v="0"/>
    <x v="0"/>
  </r>
  <r>
    <n v="25"/>
    <x v="1"/>
    <x v="0"/>
    <x v="0"/>
    <x v="0"/>
    <x v="0"/>
    <x v="2"/>
    <n v="3"/>
    <x v="1"/>
    <n v="12.9048"/>
    <n v="77.682100000000005"/>
    <n v="560036"/>
    <x v="0"/>
    <x v="0"/>
    <x v="0"/>
  </r>
  <r>
    <n v="20"/>
    <x v="0"/>
    <x v="1"/>
    <x v="0"/>
    <x v="0"/>
    <x v="0"/>
    <x v="1"/>
    <n v="2"/>
    <x v="1"/>
    <n v="12.9261"/>
    <n v="77.622100000000003"/>
    <n v="560034"/>
    <x v="0"/>
    <x v="0"/>
    <x v="0"/>
  </r>
  <r>
    <n v="29"/>
    <x v="1"/>
    <x v="1"/>
    <x v="1"/>
    <x v="1"/>
    <x v="4"/>
    <x v="1"/>
    <n v="4"/>
    <x v="0"/>
    <n v="12.9261"/>
    <n v="77.622100000000003"/>
    <n v="560034"/>
    <x v="1"/>
    <x v="1"/>
    <x v="1"/>
  </r>
  <r>
    <n v="23"/>
    <x v="0"/>
    <x v="0"/>
    <x v="0"/>
    <x v="0"/>
    <x v="0"/>
    <x v="1"/>
    <n v="1"/>
    <x v="2"/>
    <n v="12.977"/>
    <n v="77.577299999999994"/>
    <n v="560009"/>
    <x v="0"/>
    <x v="0"/>
    <x v="0"/>
  </r>
  <r>
    <n v="25"/>
    <x v="1"/>
    <x v="1"/>
    <x v="0"/>
    <x v="2"/>
    <x v="2"/>
    <x v="1"/>
    <n v="2"/>
    <x v="1"/>
    <n v="12.978300000000001"/>
    <n v="77.640799999999999"/>
    <n v="560038"/>
    <x v="0"/>
    <x v="0"/>
    <x v="0"/>
  </r>
  <r>
    <n v="29"/>
    <x v="1"/>
    <x v="0"/>
    <x v="1"/>
    <x v="1"/>
    <x v="4"/>
    <x v="1"/>
    <n v="4"/>
    <x v="0"/>
    <n v="12.978300000000001"/>
    <n v="77.640799999999999"/>
    <n v="560038"/>
    <x v="1"/>
    <x v="1"/>
    <x v="1"/>
  </r>
  <r>
    <n v="27"/>
    <x v="1"/>
    <x v="1"/>
    <x v="1"/>
    <x v="2"/>
    <x v="4"/>
    <x v="1"/>
    <n v="6"/>
    <x v="0"/>
    <n v="12.9217"/>
    <n v="77.593599999999995"/>
    <n v="560041"/>
    <x v="1"/>
    <x v="0"/>
    <x v="2"/>
  </r>
  <r>
    <n v="25"/>
    <x v="1"/>
    <x v="1"/>
    <x v="0"/>
    <x v="2"/>
    <x v="3"/>
    <x v="1"/>
    <n v="3"/>
    <x v="1"/>
    <n v="13.0206"/>
    <n v="77.647900000000007"/>
    <n v="560043"/>
    <x v="0"/>
    <x v="0"/>
    <x v="0"/>
  </r>
  <r>
    <n v="21"/>
    <x v="0"/>
    <x v="1"/>
    <x v="0"/>
    <x v="0"/>
    <x v="0"/>
    <x v="1"/>
    <n v="2"/>
    <x v="1"/>
    <n v="13.001200000000001"/>
    <n v="77.599500000000006"/>
    <n v="560046"/>
    <x v="1"/>
    <x v="1"/>
    <x v="1"/>
  </r>
  <r>
    <n v="23"/>
    <x v="0"/>
    <x v="1"/>
    <x v="0"/>
    <x v="0"/>
    <x v="0"/>
    <x v="1"/>
    <n v="3"/>
    <x v="1"/>
    <n v="13.0223"/>
    <n v="77.713200000000001"/>
    <n v="560049"/>
    <x v="0"/>
    <x v="0"/>
    <x v="0"/>
  </r>
  <r>
    <n v="24"/>
    <x v="0"/>
    <x v="0"/>
    <x v="0"/>
    <x v="1"/>
    <x v="3"/>
    <x v="0"/>
    <n v="4"/>
    <x v="0"/>
    <n v="12.9337"/>
    <n v="77.59"/>
    <n v="560011"/>
    <x v="0"/>
    <x v="0"/>
    <x v="0"/>
  </r>
  <r>
    <n v="22"/>
    <x v="0"/>
    <x v="1"/>
    <x v="1"/>
    <x v="2"/>
    <x v="3"/>
    <x v="4"/>
    <n v="3"/>
    <x v="1"/>
    <n v="12.981999999999999"/>
    <n v="77.625600000000006"/>
    <n v="560008"/>
    <x v="0"/>
    <x v="1"/>
    <x v="1"/>
  </r>
  <r>
    <n v="28"/>
    <x v="1"/>
    <x v="1"/>
    <x v="1"/>
    <x v="1"/>
    <x v="4"/>
    <x v="0"/>
    <n v="5"/>
    <x v="0"/>
    <n v="13.026199999999999"/>
    <n v="77.62"/>
    <n v="560045"/>
    <x v="0"/>
    <x v="0"/>
    <x v="0"/>
  </r>
  <r>
    <n v="26"/>
    <x v="1"/>
    <x v="1"/>
    <x v="0"/>
    <x v="1"/>
    <x v="3"/>
    <x v="1"/>
    <n v="2"/>
    <x v="1"/>
    <n v="12.9217"/>
    <n v="77.593599999999995"/>
    <n v="560041"/>
    <x v="1"/>
    <x v="1"/>
    <x v="1"/>
  </r>
  <r>
    <n v="22"/>
    <x v="0"/>
    <x v="0"/>
    <x v="0"/>
    <x v="1"/>
    <x v="4"/>
    <x v="1"/>
    <n v="4"/>
    <x v="0"/>
    <n v="12.884499999999999"/>
    <n v="77.6036"/>
    <n v="560076"/>
    <x v="0"/>
    <x v="0"/>
    <x v="0"/>
  </r>
  <r>
    <n v="26"/>
    <x v="1"/>
    <x v="1"/>
    <x v="1"/>
    <x v="1"/>
    <x v="2"/>
    <x v="1"/>
    <n v="4"/>
    <x v="0"/>
    <n v="12.9048"/>
    <n v="77.682100000000005"/>
    <n v="560036"/>
    <x v="0"/>
    <x v="0"/>
    <x v="0"/>
  </r>
  <r>
    <n v="25"/>
    <x v="1"/>
    <x v="0"/>
    <x v="0"/>
    <x v="0"/>
    <x v="0"/>
    <x v="2"/>
    <n v="3"/>
    <x v="1"/>
    <n v="12.9048"/>
    <n v="77.682100000000005"/>
    <n v="560036"/>
    <x v="0"/>
    <x v="0"/>
    <x v="0"/>
  </r>
  <r>
    <n v="20"/>
    <x v="0"/>
    <x v="1"/>
    <x v="0"/>
    <x v="0"/>
    <x v="0"/>
    <x v="1"/>
    <n v="2"/>
    <x v="1"/>
    <n v="12.9261"/>
    <n v="77.622100000000003"/>
    <n v="560034"/>
    <x v="0"/>
    <x v="0"/>
    <x v="0"/>
  </r>
  <r>
    <n v="29"/>
    <x v="1"/>
    <x v="1"/>
    <x v="1"/>
    <x v="1"/>
    <x v="4"/>
    <x v="1"/>
    <n v="4"/>
    <x v="0"/>
    <n v="12.9261"/>
    <n v="77.622100000000003"/>
    <n v="560034"/>
    <x v="1"/>
    <x v="1"/>
    <x v="1"/>
  </r>
  <r>
    <n v="23"/>
    <x v="0"/>
    <x v="0"/>
    <x v="0"/>
    <x v="0"/>
    <x v="0"/>
    <x v="1"/>
    <n v="1"/>
    <x v="2"/>
    <n v="12.977"/>
    <n v="77.577299999999994"/>
    <n v="560009"/>
    <x v="0"/>
    <x v="0"/>
    <x v="0"/>
  </r>
  <r>
    <n v="25"/>
    <x v="1"/>
    <x v="1"/>
    <x v="0"/>
    <x v="2"/>
    <x v="2"/>
    <x v="1"/>
    <n v="2"/>
    <x v="1"/>
    <n v="12.978300000000001"/>
    <n v="77.640799999999999"/>
    <n v="560038"/>
    <x v="0"/>
    <x v="0"/>
    <x v="0"/>
  </r>
  <r>
    <n v="29"/>
    <x v="1"/>
    <x v="0"/>
    <x v="1"/>
    <x v="1"/>
    <x v="4"/>
    <x v="1"/>
    <n v="4"/>
    <x v="0"/>
    <n v="12.978300000000001"/>
    <n v="77.640799999999999"/>
    <n v="560038"/>
    <x v="1"/>
    <x v="0"/>
    <x v="2"/>
  </r>
  <r>
    <n v="27"/>
    <x v="1"/>
    <x v="1"/>
    <x v="1"/>
    <x v="2"/>
    <x v="4"/>
    <x v="1"/>
    <n v="6"/>
    <x v="0"/>
    <n v="12.9217"/>
    <n v="77.593599999999995"/>
    <n v="560041"/>
    <x v="1"/>
    <x v="0"/>
    <x v="2"/>
  </r>
  <r>
    <n v="25"/>
    <x v="1"/>
    <x v="1"/>
    <x v="0"/>
    <x v="2"/>
    <x v="3"/>
    <x v="1"/>
    <n v="3"/>
    <x v="1"/>
    <n v="13.0206"/>
    <n v="77.647900000000007"/>
    <n v="560043"/>
    <x v="0"/>
    <x v="0"/>
    <x v="0"/>
  </r>
  <r>
    <n v="21"/>
    <x v="0"/>
    <x v="1"/>
    <x v="0"/>
    <x v="0"/>
    <x v="0"/>
    <x v="1"/>
    <n v="2"/>
    <x v="1"/>
    <n v="13.001200000000001"/>
    <n v="77.599500000000006"/>
    <n v="560046"/>
    <x v="1"/>
    <x v="0"/>
    <x v="2"/>
  </r>
  <r>
    <n v="24"/>
    <x v="0"/>
    <x v="1"/>
    <x v="0"/>
    <x v="0"/>
    <x v="0"/>
    <x v="0"/>
    <n v="2"/>
    <x v="1"/>
    <n v="12.970599999999999"/>
    <n v="77.652900000000002"/>
    <n v="560075"/>
    <x v="0"/>
    <x v="0"/>
    <x v="0"/>
  </r>
  <r>
    <n v="26"/>
    <x v="1"/>
    <x v="0"/>
    <x v="1"/>
    <x v="2"/>
    <x v="3"/>
    <x v="1"/>
    <n v="5"/>
    <x v="0"/>
    <n v="12.970599999999999"/>
    <n v="77.652900000000002"/>
    <n v="560075"/>
    <x v="1"/>
    <x v="1"/>
    <x v="1"/>
  </r>
  <r>
    <n v="32"/>
    <x v="2"/>
    <x v="1"/>
    <x v="1"/>
    <x v="1"/>
    <x v="4"/>
    <x v="1"/>
    <n v="3"/>
    <x v="1"/>
    <n v="12.970599999999999"/>
    <n v="77.652900000000002"/>
    <n v="560075"/>
    <x v="0"/>
    <x v="0"/>
    <x v="0"/>
  </r>
  <r>
    <n v="29"/>
    <x v="1"/>
    <x v="1"/>
    <x v="0"/>
    <x v="2"/>
    <x v="2"/>
    <x v="1"/>
    <n v="6"/>
    <x v="0"/>
    <n v="12.884499999999999"/>
    <n v="77.6036"/>
    <n v="560076"/>
    <x v="0"/>
    <x v="0"/>
    <x v="0"/>
  </r>
  <r>
    <n v="21"/>
    <x v="0"/>
    <x v="1"/>
    <x v="0"/>
    <x v="0"/>
    <x v="0"/>
    <x v="1"/>
    <n v="5"/>
    <x v="0"/>
    <n v="12.978300000000001"/>
    <n v="77.640799999999999"/>
    <n v="560038"/>
    <x v="0"/>
    <x v="0"/>
    <x v="0"/>
  </r>
  <r>
    <n v="24"/>
    <x v="0"/>
    <x v="0"/>
    <x v="0"/>
    <x v="2"/>
    <x v="4"/>
    <x v="0"/>
    <n v="3"/>
    <x v="1"/>
    <n v="13.010300000000001"/>
    <n v="77.579599999999999"/>
    <n v="560080"/>
    <x v="1"/>
    <x v="1"/>
    <x v="1"/>
  </r>
  <r>
    <n v="26"/>
    <x v="1"/>
    <x v="1"/>
    <x v="2"/>
    <x v="2"/>
    <x v="2"/>
    <x v="0"/>
    <n v="2"/>
    <x v="1"/>
    <n v="13.010300000000001"/>
    <n v="77.579599999999999"/>
    <n v="560080"/>
    <x v="0"/>
    <x v="0"/>
    <x v="0"/>
  </r>
  <r>
    <n v="31"/>
    <x v="2"/>
    <x v="1"/>
    <x v="1"/>
    <x v="1"/>
    <x v="2"/>
    <x v="2"/>
    <n v="3"/>
    <x v="1"/>
    <n v="12.9306"/>
    <n v="77.543400000000005"/>
    <n v="560085"/>
    <x v="0"/>
    <x v="0"/>
    <x v="0"/>
  </r>
  <r>
    <n v="29"/>
    <x v="1"/>
    <x v="1"/>
    <x v="0"/>
    <x v="1"/>
    <x v="4"/>
    <x v="1"/>
    <n v="3"/>
    <x v="1"/>
    <n v="13.0641"/>
    <n v="77.593100000000007"/>
    <n v="560092"/>
    <x v="1"/>
    <x v="1"/>
    <x v="1"/>
  </r>
  <r>
    <n v="22"/>
    <x v="0"/>
    <x v="1"/>
    <x v="0"/>
    <x v="0"/>
    <x v="0"/>
    <x v="1"/>
    <n v="3"/>
    <x v="1"/>
    <n v="13.0158"/>
    <n v="77.539000000000001"/>
    <n v="560096"/>
    <x v="0"/>
    <x v="0"/>
    <x v="0"/>
  </r>
  <r>
    <n v="24"/>
    <x v="0"/>
    <x v="1"/>
    <x v="0"/>
    <x v="0"/>
    <x v="0"/>
    <x v="1"/>
    <n v="2"/>
    <x v="1"/>
    <n v="12.956099999999999"/>
    <n v="77.592100000000002"/>
    <n v="560027"/>
    <x v="0"/>
    <x v="0"/>
    <x v="0"/>
  </r>
  <r>
    <n v="27"/>
    <x v="1"/>
    <x v="1"/>
    <x v="1"/>
    <x v="1"/>
    <x v="4"/>
    <x v="1"/>
    <n v="2"/>
    <x v="1"/>
    <n v="12.884499999999999"/>
    <n v="77.6036"/>
    <n v="560076"/>
    <x v="0"/>
    <x v="0"/>
    <x v="0"/>
  </r>
  <r>
    <n v="23"/>
    <x v="0"/>
    <x v="0"/>
    <x v="0"/>
    <x v="0"/>
    <x v="0"/>
    <x v="0"/>
    <n v="3"/>
    <x v="1"/>
    <n v="12.9369"/>
    <n v="77.640699999999995"/>
    <n v="560095"/>
    <x v="1"/>
    <x v="0"/>
    <x v="2"/>
  </r>
  <r>
    <n v="30"/>
    <x v="2"/>
    <x v="1"/>
    <x v="1"/>
    <x v="1"/>
    <x v="2"/>
    <x v="0"/>
    <n v="6"/>
    <x v="0"/>
    <n v="12.9369"/>
    <n v="77.640699999999995"/>
    <n v="560095"/>
    <x v="0"/>
    <x v="0"/>
    <x v="0"/>
  </r>
  <r>
    <n v="22"/>
    <x v="0"/>
    <x v="0"/>
    <x v="0"/>
    <x v="0"/>
    <x v="0"/>
    <x v="1"/>
    <n v="2"/>
    <x v="1"/>
    <n v="12.9369"/>
    <n v="77.640699999999995"/>
    <n v="560095"/>
    <x v="0"/>
    <x v="0"/>
    <x v="0"/>
  </r>
  <r>
    <n v="28"/>
    <x v="1"/>
    <x v="1"/>
    <x v="1"/>
    <x v="1"/>
    <x v="4"/>
    <x v="1"/>
    <n v="3"/>
    <x v="1"/>
    <n v="12.9369"/>
    <n v="77.640699999999995"/>
    <n v="560095"/>
    <x v="0"/>
    <x v="0"/>
    <x v="0"/>
  </r>
  <r>
    <n v="23"/>
    <x v="0"/>
    <x v="0"/>
    <x v="0"/>
    <x v="0"/>
    <x v="0"/>
    <x v="0"/>
    <n v="2"/>
    <x v="1"/>
    <n v="13.0158"/>
    <n v="77.539000000000001"/>
    <n v="560096"/>
    <x v="0"/>
    <x v="0"/>
    <x v="0"/>
  </r>
  <r>
    <n v="30"/>
    <x v="2"/>
    <x v="1"/>
    <x v="1"/>
    <x v="2"/>
    <x v="2"/>
    <x v="1"/>
    <n v="1"/>
    <x v="2"/>
    <n v="13.0809"/>
    <n v="77.5565"/>
    <n v="560097"/>
    <x v="1"/>
    <x v="1"/>
    <x v="1"/>
  </r>
  <r>
    <n v="21"/>
    <x v="0"/>
    <x v="1"/>
    <x v="0"/>
    <x v="0"/>
    <x v="0"/>
    <x v="1"/>
    <n v="3"/>
    <x v="1"/>
    <n v="13.0641"/>
    <n v="77.593100000000007"/>
    <n v="560092"/>
    <x v="0"/>
    <x v="1"/>
    <x v="1"/>
  </r>
  <r>
    <n v="26"/>
    <x v="1"/>
    <x v="0"/>
    <x v="1"/>
    <x v="1"/>
    <x v="1"/>
    <x v="1"/>
    <n v="6"/>
    <x v="0"/>
    <n v="12.985900000000001"/>
    <n v="77.671300000000002"/>
    <n v="560093"/>
    <x v="1"/>
    <x v="1"/>
    <x v="1"/>
  </r>
  <r>
    <n v="25"/>
    <x v="1"/>
    <x v="1"/>
    <x v="0"/>
    <x v="2"/>
    <x v="2"/>
    <x v="4"/>
    <n v="3"/>
    <x v="1"/>
    <n v="12.985900000000001"/>
    <n v="77.671300000000002"/>
    <n v="560093"/>
    <x v="0"/>
    <x v="0"/>
    <x v="0"/>
  </r>
  <r>
    <n v="31"/>
    <x v="2"/>
    <x v="1"/>
    <x v="2"/>
    <x v="1"/>
    <x v="1"/>
    <x v="1"/>
    <n v="1"/>
    <x v="2"/>
    <n v="12.986599999999999"/>
    <n v="77.490399999999994"/>
    <n v="560091"/>
    <x v="1"/>
    <x v="1"/>
    <x v="1"/>
  </r>
  <r>
    <n v="23"/>
    <x v="0"/>
    <x v="0"/>
    <x v="0"/>
    <x v="1"/>
    <x v="4"/>
    <x v="0"/>
    <n v="2"/>
    <x v="1"/>
    <n v="12.9847"/>
    <n v="77.549099999999996"/>
    <n v="560100"/>
    <x v="0"/>
    <x v="0"/>
    <x v="0"/>
  </r>
  <r>
    <n v="22"/>
    <x v="0"/>
    <x v="1"/>
    <x v="0"/>
    <x v="0"/>
    <x v="1"/>
    <x v="0"/>
    <n v="4"/>
    <x v="0"/>
    <n v="12.984999999999999"/>
    <n v="77.553299999999993"/>
    <n v="560010"/>
    <x v="0"/>
    <x v="0"/>
    <x v="0"/>
  </r>
  <r>
    <n v="27"/>
    <x v="1"/>
    <x v="0"/>
    <x v="1"/>
    <x v="1"/>
    <x v="2"/>
    <x v="0"/>
    <n v="2"/>
    <x v="1"/>
    <n v="12.9299"/>
    <n v="77.684799999999996"/>
    <n v="560103"/>
    <x v="0"/>
    <x v="0"/>
    <x v="0"/>
  </r>
  <r>
    <n v="22"/>
    <x v="0"/>
    <x v="1"/>
    <x v="0"/>
    <x v="0"/>
    <x v="0"/>
    <x v="1"/>
    <n v="3"/>
    <x v="1"/>
    <n v="12.977"/>
    <n v="77.577299999999994"/>
    <n v="560009"/>
    <x v="0"/>
    <x v="0"/>
    <x v="0"/>
  </r>
  <r>
    <n v="24"/>
    <x v="0"/>
    <x v="0"/>
    <x v="0"/>
    <x v="0"/>
    <x v="0"/>
    <x v="0"/>
    <n v="3"/>
    <x v="1"/>
    <n v="12.982799999999999"/>
    <n v="77.613100000000003"/>
    <n v="560042"/>
    <x v="0"/>
    <x v="0"/>
    <x v="0"/>
  </r>
  <r>
    <n v="23"/>
    <x v="0"/>
    <x v="0"/>
    <x v="0"/>
    <x v="0"/>
    <x v="0"/>
    <x v="0"/>
    <n v="2"/>
    <x v="1"/>
    <n v="12.976599999999999"/>
    <n v="77.599299999999999"/>
    <n v="560001"/>
    <x v="0"/>
    <x v="0"/>
    <x v="0"/>
  </r>
  <r>
    <n v="23"/>
    <x v="0"/>
    <x v="0"/>
    <x v="0"/>
    <x v="0"/>
    <x v="0"/>
    <x v="0"/>
    <n v="4"/>
    <x v="0"/>
    <n v="12.9854"/>
    <n v="77.708100000000002"/>
    <n v="560048"/>
    <x v="0"/>
    <x v="0"/>
    <x v="0"/>
  </r>
  <r>
    <n v="22"/>
    <x v="0"/>
    <x v="0"/>
    <x v="0"/>
    <x v="0"/>
    <x v="0"/>
    <x v="0"/>
    <n v="5"/>
    <x v="0"/>
    <n v="12.984999999999999"/>
    <n v="77.553299999999993"/>
    <n v="560010"/>
    <x v="0"/>
    <x v="0"/>
    <x v="0"/>
  </r>
  <r>
    <n v="23"/>
    <x v="0"/>
    <x v="1"/>
    <x v="0"/>
    <x v="0"/>
    <x v="1"/>
    <x v="0"/>
    <n v="2"/>
    <x v="1"/>
    <n v="12.977"/>
    <n v="77.577299999999994"/>
    <n v="560009"/>
    <x v="0"/>
    <x v="0"/>
    <x v="0"/>
  </r>
  <r>
    <n v="23"/>
    <x v="0"/>
    <x v="1"/>
    <x v="0"/>
    <x v="0"/>
    <x v="0"/>
    <x v="0"/>
    <n v="5"/>
    <x v="0"/>
    <n v="12.8988"/>
    <n v="77.576400000000007"/>
    <n v="560078"/>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rowHeaderCaption="Occupation">
  <location ref="A3:D8" firstHeaderRow="1" firstDataRow="2" firstDataCol="1"/>
  <pivotFields count="15">
    <pivotField showAll="0"/>
    <pivotField showAll="0">
      <items count="4">
        <item x="0"/>
        <item x="1"/>
        <item x="2"/>
        <item t="default"/>
      </items>
    </pivotField>
    <pivotField showAll="0">
      <items count="3">
        <item x="0"/>
        <item x="1"/>
        <item t="default"/>
      </items>
    </pivotField>
    <pivotField showAll="0">
      <items count="4">
        <item x="1"/>
        <item x="2"/>
        <item x="0"/>
        <item t="default"/>
      </items>
    </pivotField>
    <pivotField axis="axisRow"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showAll="0">
      <items count="4">
        <item x="0"/>
        <item x="2"/>
        <item x="1"/>
        <item t="default"/>
      </items>
    </pivotField>
    <pivotField showAll="0"/>
    <pivotField showAll="0"/>
    <pivotField showAll="0"/>
    <pivotField showAll="0"/>
    <pivotField showAll="0"/>
    <pivotField axis="axisCol" dataField="1" showAll="0">
      <items count="4">
        <item x="1"/>
        <item x="2"/>
        <item x="0"/>
        <item t="default"/>
      </items>
    </pivotField>
  </pivotFields>
  <rowFields count="1">
    <field x="4"/>
  </rowFields>
  <rowItems count="4">
    <i>
      <x/>
    </i>
    <i>
      <x v="1"/>
    </i>
    <i>
      <x v="2"/>
    </i>
    <i>
      <x v="3"/>
    </i>
  </rowItems>
  <colFields count="1">
    <field x="14"/>
  </colFields>
  <colItems count="3">
    <i>
      <x/>
    </i>
    <i>
      <x v="1"/>
    </i>
    <i>
      <x v="2"/>
    </i>
  </colItems>
  <dataFields count="1">
    <dataField name="Count of Customer Segment" fld="14" subtotal="count" baseField="0" baseItem="0"/>
  </dataFields>
  <chartFormats count="27">
    <chartFormat chart="0" format="5" series="1">
      <pivotArea type="data" outline="0" fieldPosition="0">
        <references count="2">
          <reference field="4294967294" count="1" selected="0">
            <x v="0"/>
          </reference>
          <reference field="14" count="1" selected="0">
            <x v="2"/>
          </reference>
        </references>
      </pivotArea>
    </chartFormat>
    <chartFormat chart="0" format="6" series="1">
      <pivotArea type="data" outline="0" fieldPosition="0">
        <references count="2">
          <reference field="4294967294" count="1" selected="0">
            <x v="0"/>
          </reference>
          <reference field="14" count="1" selected="0">
            <x v="0"/>
          </reference>
        </references>
      </pivotArea>
    </chartFormat>
    <chartFormat chart="0" format="7" series="1">
      <pivotArea type="data" outline="0" fieldPosition="0">
        <references count="2">
          <reference field="4294967294" count="1" selected="0">
            <x v="0"/>
          </reference>
          <reference field="14" count="1" selected="0">
            <x v="1"/>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1" format="4" series="1">
      <pivotArea type="data" outline="0" fieldPosition="0">
        <references count="2">
          <reference field="4294967294" count="1" selected="0">
            <x v="0"/>
          </reference>
          <reference field="14" count="1" selected="0">
            <x v="2"/>
          </reference>
        </references>
      </pivotArea>
    </chartFormat>
    <chartFormat chart="1" format="5" series="1">
      <pivotArea type="data" outline="0" fieldPosition="0">
        <references count="2">
          <reference field="4294967294" count="1" selected="0">
            <x v="0"/>
          </reference>
          <reference field="14" count="1" selected="0">
            <x v="0"/>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3" format="8" series="1">
      <pivotArea type="data" outline="0" fieldPosition="0">
        <references count="2">
          <reference field="4294967294" count="1" selected="0">
            <x v="0"/>
          </reference>
          <reference field="14" count="1" selected="0">
            <x v="2"/>
          </reference>
        </references>
      </pivotArea>
    </chartFormat>
    <chartFormat chart="4" format="9" series="1">
      <pivotArea type="data" outline="0" fieldPosition="0">
        <references count="2">
          <reference field="4294967294" count="1" selected="0">
            <x v="0"/>
          </reference>
          <reference field="14" count="1" selected="0">
            <x v="0"/>
          </reference>
        </references>
      </pivotArea>
    </chartFormat>
    <chartFormat chart="4" format="10" series="1">
      <pivotArea type="data" outline="0" fieldPosition="0">
        <references count="2">
          <reference field="4294967294" count="1" selected="0">
            <x v="0"/>
          </reference>
          <reference field="14" count="1" selected="0">
            <x v="1"/>
          </reference>
        </references>
      </pivotArea>
    </chartFormat>
    <chartFormat chart="4" format="11" series="1">
      <pivotArea type="data" outline="0" fieldPosition="0">
        <references count="2">
          <reference field="4294967294" count="1" selected="0">
            <x v="0"/>
          </reference>
          <reference field="14" count="1" selected="0">
            <x v="2"/>
          </reference>
        </references>
      </pivotArea>
    </chartFormat>
    <chartFormat chart="8" format="6" series="1">
      <pivotArea type="data" outline="0" fieldPosition="0">
        <references count="2">
          <reference field="4294967294" count="1" selected="0">
            <x v="0"/>
          </reference>
          <reference field="14" count="1" selected="0">
            <x v="0"/>
          </reference>
        </references>
      </pivotArea>
    </chartFormat>
    <chartFormat chart="8" format="7" series="1">
      <pivotArea type="data" outline="0" fieldPosition="0">
        <references count="2">
          <reference field="4294967294" count="1" selected="0">
            <x v="0"/>
          </reference>
          <reference field="14" count="1" selected="0">
            <x v="1"/>
          </reference>
        </references>
      </pivotArea>
    </chartFormat>
    <chartFormat chart="8" format="8" series="1">
      <pivotArea type="data" outline="0" fieldPosition="0">
        <references count="2">
          <reference field="4294967294" count="1" selected="0">
            <x v="0"/>
          </reference>
          <reference field="14" count="1" selected="0">
            <x v="2"/>
          </reference>
        </references>
      </pivotArea>
    </chartFormat>
    <chartFormat chart="9" format="9" series="1">
      <pivotArea type="data" outline="0" fieldPosition="0">
        <references count="2">
          <reference field="4294967294" count="1" selected="0">
            <x v="0"/>
          </reference>
          <reference field="14" count="1" selected="0">
            <x v="0"/>
          </reference>
        </references>
      </pivotArea>
    </chartFormat>
    <chartFormat chart="9" format="10" series="1">
      <pivotArea type="data" outline="0" fieldPosition="0">
        <references count="2">
          <reference field="4294967294" count="1" selected="0">
            <x v="0"/>
          </reference>
          <reference field="14" count="1" selected="0">
            <x v="1"/>
          </reference>
        </references>
      </pivotArea>
    </chartFormat>
    <chartFormat chart="9" format="11" series="1">
      <pivotArea type="data" outline="0" fieldPosition="0">
        <references count="2">
          <reference field="4294967294" count="1" selected="0">
            <x v="0"/>
          </reference>
          <reference field="14" count="1" selected="0">
            <x v="2"/>
          </reference>
        </references>
      </pivotArea>
    </chartFormat>
    <chartFormat chart="5" format="12" series="1">
      <pivotArea type="data" outline="0" fieldPosition="0">
        <references count="2">
          <reference field="4294967294" count="1" selected="0">
            <x v="0"/>
          </reference>
          <reference field="14" count="1" selected="0">
            <x v="0"/>
          </reference>
        </references>
      </pivotArea>
    </chartFormat>
    <chartFormat chart="5" format="13" series="1">
      <pivotArea type="data" outline="0" fieldPosition="0">
        <references count="2">
          <reference field="4294967294" count="1" selected="0">
            <x v="0"/>
          </reference>
          <reference field="14" count="1" selected="0">
            <x v="1"/>
          </reference>
        </references>
      </pivotArea>
    </chartFormat>
    <chartFormat chart="5" format="14" series="1">
      <pivotArea type="data" outline="0" fieldPosition="0">
        <references count="2">
          <reference field="4294967294" count="1" selected="0">
            <x v="0"/>
          </reference>
          <reference field="14" count="1" selected="0">
            <x v="2"/>
          </reference>
        </references>
      </pivotArea>
    </chartFormat>
    <chartFormat chart="10" format="9" series="1">
      <pivotArea type="data" outline="0" fieldPosition="0">
        <references count="2">
          <reference field="4294967294" count="1" selected="0">
            <x v="0"/>
          </reference>
          <reference field="14" count="1" selected="0">
            <x v="0"/>
          </reference>
        </references>
      </pivotArea>
    </chartFormat>
    <chartFormat chart="10" format="10" series="1">
      <pivotArea type="data" outline="0" fieldPosition="0">
        <references count="2">
          <reference field="4294967294" count="1" selected="0">
            <x v="0"/>
          </reference>
          <reference field="14" count="1" selected="0">
            <x v="1"/>
          </reference>
        </references>
      </pivotArea>
    </chartFormat>
    <chartFormat chart="10" format="11" series="1">
      <pivotArea type="data" outline="0" fieldPosition="0">
        <references count="2">
          <reference field="4294967294" count="1" selected="0">
            <x v="0"/>
          </reference>
          <reference field="14" count="1" selected="0">
            <x v="2"/>
          </reference>
        </references>
      </pivotArea>
    </chartFormat>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Monthly Income">
  <location ref="A3:C9" firstHeaderRow="1" firstDataRow="2" firstDataCol="1"/>
  <pivotFields count="15">
    <pivotField showAll="0"/>
    <pivotField showAll="0">
      <items count="4">
        <item x="0"/>
        <item x="1"/>
        <item x="2"/>
        <item t="default"/>
      </items>
    </pivotField>
    <pivotField showAll="0">
      <items count="3">
        <item x="0"/>
        <item x="1"/>
        <item t="default"/>
      </items>
    </pivotField>
    <pivotField showAll="0">
      <items count="4">
        <item x="1"/>
        <item x="2"/>
        <item x="0"/>
        <item t="default"/>
      </items>
    </pivotField>
    <pivotField showAll="0">
      <items count="5">
        <item x="1"/>
        <item x="3"/>
        <item x="2"/>
        <item x="0"/>
        <item t="default"/>
      </items>
    </pivotField>
    <pivotField axis="axisRow" showAll="0">
      <items count="6">
        <item x="3"/>
        <item x="4"/>
        <item x="1"/>
        <item x="2"/>
        <item x="0"/>
        <item t="default"/>
      </items>
    </pivotField>
    <pivotField showAll="0">
      <items count="6">
        <item x="1"/>
        <item x="2"/>
        <item x="0"/>
        <item x="4"/>
        <item x="3"/>
        <item t="default"/>
      </items>
    </pivotField>
    <pivotField showAll="0"/>
    <pivotField showAll="0">
      <items count="4">
        <item x="0"/>
        <item x="2"/>
        <item x="1"/>
        <item t="default"/>
      </items>
    </pivotField>
    <pivotField showAll="0"/>
    <pivotField showAll="0"/>
    <pivotField showAll="0"/>
    <pivotField axis="axisCol" dataField="1" showAll="0">
      <items count="3">
        <item x="1"/>
        <item x="0"/>
        <item t="default"/>
      </items>
    </pivotField>
    <pivotField showAll="0"/>
    <pivotField showAll="0"/>
  </pivotFields>
  <rowFields count="1">
    <field x="5"/>
  </rowFields>
  <rowItems count="5">
    <i>
      <x/>
    </i>
    <i>
      <x v="1"/>
    </i>
    <i>
      <x v="2"/>
    </i>
    <i>
      <x v="3"/>
    </i>
    <i>
      <x v="4"/>
    </i>
  </rowItems>
  <colFields count="1">
    <field x="12"/>
  </colFields>
  <colItems count="2">
    <i>
      <x/>
    </i>
    <i>
      <x v="1"/>
    </i>
  </colItems>
  <dataFields count="1">
    <dataField name="Count of Output" fld="12"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Age Group">
  <location ref="A3:C7" firstHeaderRow="1" firstDataRow="2" firstDataCol="1"/>
  <pivotFields count="15">
    <pivotField showAll="0"/>
    <pivotField axis="axisRow" showAll="0">
      <items count="4">
        <item x="0"/>
        <item x="1"/>
        <item x="2"/>
        <item t="default"/>
      </items>
    </pivotField>
    <pivotField showAll="0">
      <items count="3">
        <item x="0"/>
        <item x="1"/>
        <item t="default"/>
      </items>
    </pivotField>
    <pivotField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showAll="0">
      <items count="4">
        <item x="0"/>
        <item x="2"/>
        <item x="1"/>
        <item t="default"/>
      </items>
    </pivotField>
    <pivotField showAll="0"/>
    <pivotField showAll="0"/>
    <pivotField showAll="0"/>
    <pivotField axis="axisCol" dataField="1" showAll="0">
      <items count="3">
        <item x="1"/>
        <item x="0"/>
        <item t="default"/>
      </items>
    </pivotField>
    <pivotField showAll="0"/>
    <pivotField showAll="0"/>
  </pivotFields>
  <rowFields count="1">
    <field x="1"/>
  </rowFields>
  <rowItems count="3">
    <i>
      <x/>
    </i>
    <i>
      <x v="1"/>
    </i>
    <i>
      <x v="2"/>
    </i>
  </rowItems>
  <colFields count="1">
    <field x="12"/>
  </colFields>
  <colItems count="2">
    <i>
      <x/>
    </i>
    <i>
      <x v="1"/>
    </i>
  </colItems>
  <dataFields count="1">
    <dataField name="Count of Output" fld="12"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rowHeaderCaption="Gender">
  <location ref="A3:C6" firstHeaderRow="1" firstDataRow="2" firstDataCol="1"/>
  <pivotFields count="15">
    <pivotField showAll="0"/>
    <pivotField showAll="0">
      <items count="4">
        <item x="0"/>
        <item x="1"/>
        <item x="2"/>
        <item t="default"/>
      </items>
    </pivotField>
    <pivotField axis="axisRow" showAll="0">
      <items count="3">
        <item x="0"/>
        <item x="1"/>
        <item t="default"/>
      </items>
    </pivotField>
    <pivotField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showAll="0">
      <items count="4">
        <item x="0"/>
        <item x="2"/>
        <item x="1"/>
        <item t="default"/>
      </items>
    </pivotField>
    <pivotField showAll="0"/>
    <pivotField showAll="0"/>
    <pivotField showAll="0"/>
    <pivotField showAll="0"/>
    <pivotField axis="axisCol" dataField="1" showAll="0">
      <items count="3">
        <item x="1"/>
        <item x="0"/>
        <item t="default"/>
      </items>
    </pivotField>
    <pivotField showAll="0"/>
  </pivotFields>
  <rowFields count="1">
    <field x="2"/>
  </rowFields>
  <rowItems count="2">
    <i>
      <x/>
    </i>
    <i>
      <x v="1"/>
    </i>
  </rowItems>
  <colFields count="1">
    <field x="13"/>
  </colFields>
  <colItems count="2">
    <i>
      <x/>
    </i>
    <i>
      <x v="1"/>
    </i>
  </colItems>
  <dataFields count="1">
    <dataField name="Count of Feedback"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Customer Type">
  <location ref="A3:C7" firstHeaderRow="1" firstDataRow="2" firstDataCol="1"/>
  <pivotFields count="15">
    <pivotField showAll="0"/>
    <pivotField showAll="0">
      <items count="4">
        <item x="0"/>
        <item x="1"/>
        <item x="2"/>
        <item t="default"/>
      </items>
    </pivotField>
    <pivotField showAll="0">
      <items count="3">
        <item x="0"/>
        <item x="1"/>
        <item t="default"/>
      </items>
    </pivotField>
    <pivotField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axis="axisRow" showAll="0">
      <items count="4">
        <item x="0"/>
        <item x="2"/>
        <item x="1"/>
        <item t="default"/>
      </items>
    </pivotField>
    <pivotField showAll="0"/>
    <pivotField showAll="0"/>
    <pivotField showAll="0"/>
    <pivotField showAll="0"/>
    <pivotField axis="axisCol" dataField="1" showAll="0">
      <items count="3">
        <item x="1"/>
        <item x="0"/>
        <item t="default"/>
      </items>
    </pivotField>
    <pivotField showAll="0"/>
  </pivotFields>
  <rowFields count="1">
    <field x="8"/>
  </rowFields>
  <rowItems count="3">
    <i>
      <x/>
    </i>
    <i>
      <x v="1"/>
    </i>
    <i>
      <x v="2"/>
    </i>
  </rowItems>
  <colFields count="1">
    <field x="13"/>
  </colFields>
  <colItems count="2">
    <i>
      <x/>
    </i>
    <i>
      <x v="1"/>
    </i>
  </colItems>
  <dataFields count="1">
    <dataField name="Count of Feedback"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Education">
  <location ref="A3:C9" firstHeaderRow="1" firstDataRow="2" firstDataCol="1"/>
  <pivotFields count="15">
    <pivotField showAll="0"/>
    <pivotField showAll="0">
      <items count="4">
        <item x="0"/>
        <item x="1"/>
        <item x="2"/>
        <item t="default"/>
      </items>
    </pivotField>
    <pivotField showAll="0">
      <items count="3">
        <item x="0"/>
        <item x="1"/>
        <item t="default"/>
      </items>
    </pivotField>
    <pivotField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axis="axisRow" showAll="0">
      <items count="6">
        <item x="1"/>
        <item x="2"/>
        <item x="0"/>
        <item x="4"/>
        <item x="3"/>
        <item t="default"/>
      </items>
    </pivotField>
    <pivotField showAll="0"/>
    <pivotField showAll="0">
      <items count="4">
        <item x="0"/>
        <item x="2"/>
        <item x="1"/>
        <item t="default"/>
      </items>
    </pivotField>
    <pivotField showAll="0"/>
    <pivotField showAll="0"/>
    <pivotField showAll="0"/>
    <pivotField showAll="0"/>
    <pivotField axis="axisCol" dataField="1" showAll="0">
      <items count="3">
        <item x="1"/>
        <item x="0"/>
        <item t="default"/>
      </items>
    </pivotField>
    <pivotField showAll="0"/>
  </pivotFields>
  <rowFields count="1">
    <field x="6"/>
  </rowFields>
  <rowItems count="5">
    <i>
      <x/>
    </i>
    <i>
      <x v="1"/>
    </i>
    <i>
      <x v="2"/>
    </i>
    <i>
      <x v="3"/>
    </i>
    <i>
      <x v="4"/>
    </i>
  </rowItems>
  <colFields count="1">
    <field x="13"/>
  </colFields>
  <colItems count="2">
    <i>
      <x/>
    </i>
    <i>
      <x v="1"/>
    </i>
  </colItems>
  <dataFields count="1">
    <dataField name="Count of Feedback"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Education">
  <location ref="A3:B7" firstHeaderRow="1" firstDataRow="1" firstDataCol="1"/>
  <pivotFields count="15">
    <pivotField showAll="0"/>
    <pivotField showAll="0">
      <items count="4">
        <item x="0"/>
        <item x="1"/>
        <item x="2"/>
        <item t="default"/>
      </items>
    </pivotField>
    <pivotField showAll="0">
      <items count="3">
        <item x="0"/>
        <item x="1"/>
        <item t="default"/>
      </items>
    </pivotField>
    <pivotField showAll="0">
      <items count="4">
        <item x="1"/>
        <item x="2"/>
        <item x="0"/>
        <item t="default"/>
      </items>
    </pivotField>
    <pivotField axis="axisRow"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dataField="1" showAll="0"/>
    <pivotField showAll="0">
      <items count="4">
        <item x="0"/>
        <item x="2"/>
        <item x="1"/>
        <item t="default"/>
      </items>
    </pivotField>
    <pivotField showAll="0"/>
    <pivotField showAll="0"/>
    <pivotField showAll="0"/>
    <pivotField showAll="0"/>
    <pivotField showAll="0"/>
    <pivotField showAll="0"/>
  </pivotFields>
  <rowFields count="1">
    <field x="4"/>
  </rowFields>
  <rowItems count="4">
    <i>
      <x/>
    </i>
    <i>
      <x v="1"/>
    </i>
    <i>
      <x v="2"/>
    </i>
    <i>
      <x v="3"/>
    </i>
  </rowItems>
  <colItems count="1">
    <i/>
  </colItems>
  <dataFields count="1">
    <dataField name="Average of Family size" fld="7" subtotal="average" baseField="4" baseItem="0"/>
  </dataFields>
  <formats count="9">
    <format dxfId="54">
      <pivotArea collapsedLevelsAreSubtotals="1" fieldPosition="0">
        <references count="1">
          <reference field="4" count="0"/>
        </references>
      </pivotArea>
    </format>
    <format dxfId="53">
      <pivotArea collapsedLevelsAreSubtotals="1" fieldPosition="0">
        <references count="1">
          <reference field="4" count="0"/>
        </references>
      </pivotArea>
    </format>
    <format dxfId="52">
      <pivotArea collapsedLevelsAreSubtotals="1" fieldPosition="0">
        <references count="1">
          <reference field="4" count="0"/>
        </references>
      </pivotArea>
    </format>
    <format dxfId="51">
      <pivotArea collapsedLevelsAreSubtotals="1" fieldPosition="0">
        <references count="1">
          <reference field="4" count="0"/>
        </references>
      </pivotArea>
    </format>
    <format dxfId="50">
      <pivotArea collapsedLevelsAreSubtotals="1" fieldPosition="0">
        <references count="1">
          <reference field="4" count="0"/>
        </references>
      </pivotArea>
    </format>
    <format dxfId="49">
      <pivotArea collapsedLevelsAreSubtotals="1" fieldPosition="0">
        <references count="1">
          <reference field="4" count="0"/>
        </references>
      </pivotArea>
    </format>
    <format dxfId="48">
      <pivotArea collapsedLevelsAreSubtotals="1" fieldPosition="0">
        <references count="1">
          <reference field="4" count="0"/>
        </references>
      </pivotArea>
    </format>
    <format dxfId="47">
      <pivotArea collapsedLevelsAreSubtotals="1" fieldPosition="0">
        <references count="1">
          <reference field="4" count="0"/>
        </references>
      </pivotArea>
    </format>
    <format dxfId="46">
      <pivotArea collapsedLevelsAreSubtotals="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Output">
  <location ref="A3:B5" firstHeaderRow="1" firstDataRow="1" firstDataCol="1"/>
  <pivotFields count="15">
    <pivotField showAll="0"/>
    <pivotField showAll="0">
      <items count="4">
        <item x="0"/>
        <item x="1"/>
        <item x="2"/>
        <item t="default"/>
      </items>
    </pivotField>
    <pivotField showAll="0">
      <items count="3">
        <item x="0"/>
        <item x="1"/>
        <item t="default"/>
      </items>
    </pivotField>
    <pivotField showAll="0">
      <items count="4">
        <item x="1"/>
        <item x="2"/>
        <item x="0"/>
        <item t="default"/>
      </items>
    </pivotField>
    <pivotField showAll="0">
      <items count="5">
        <item x="1"/>
        <item x="3"/>
        <item x="2"/>
        <item x="0"/>
        <item t="default"/>
      </items>
    </pivotField>
    <pivotField showAll="0">
      <items count="6">
        <item x="3"/>
        <item x="4"/>
        <item x="1"/>
        <item x="2"/>
        <item x="0"/>
        <item t="default"/>
      </items>
    </pivotField>
    <pivotField showAll="0">
      <items count="6">
        <item x="1"/>
        <item x="2"/>
        <item x="0"/>
        <item x="4"/>
        <item x="3"/>
        <item t="default"/>
      </items>
    </pivotField>
    <pivotField showAll="0"/>
    <pivotField showAll="0">
      <items count="4">
        <item x="0"/>
        <item x="2"/>
        <item x="1"/>
        <item t="default"/>
      </items>
    </pivotField>
    <pivotField showAll="0"/>
    <pivotField showAll="0"/>
    <pivotField showAll="0"/>
    <pivotField axis="axisRow" dataField="1" showAll="0">
      <items count="3">
        <item x="1"/>
        <item x="0"/>
        <item t="default"/>
      </items>
    </pivotField>
    <pivotField showAll="0"/>
    <pivotField showAll="0"/>
  </pivotFields>
  <rowFields count="1">
    <field x="12"/>
  </rowFields>
  <rowItems count="2">
    <i>
      <x/>
    </i>
    <i>
      <x v="1"/>
    </i>
  </rowItems>
  <colItems count="1">
    <i/>
  </colItems>
  <dataFields count="1">
    <dataField name="Percentage" fld="12" subtotal="count" showDataAs="percentOfTotal" baseField="0" baseItem="0" numFmtId="10"/>
  </dataFields>
  <formats count="2">
    <format dxfId="45">
      <pivotArea collapsedLevelsAreSubtotals="1" fieldPosition="0">
        <references count="1">
          <reference field="12" count="0"/>
        </references>
      </pivotArea>
    </format>
    <format dxfId="44">
      <pivotArea collapsedLevelsAreSubtotals="1" fieldPosition="0">
        <references count="1">
          <reference field="12" count="0"/>
        </references>
      </pivotArea>
    </format>
  </format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2" count="1" selected="0">
            <x v="0"/>
          </reference>
        </references>
      </pivotArea>
    </chartFormat>
    <chartFormat chart="3" format="9">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3" name="PivotTable1"/>
    <pivotTable tabId="9" name="PivotTable1"/>
    <pivotTable tabId="7" name="PivotTable1"/>
    <pivotTable tabId="8" name="PivotTable1"/>
    <pivotTable tabId="6" name="PivotTable1"/>
    <pivotTable tabId="5" name="PivotTable1"/>
    <pivotTable tabId="4" name="PivotTable1"/>
    <pivotTable tabId="10" name="PivotTable2"/>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 tabId="9" name="PivotTable1"/>
    <pivotTable tabId="7" name="PivotTable1"/>
    <pivotTable tabId="8" name="PivotTable1"/>
    <pivotTable tabId="6" name="PivotTable1"/>
    <pivotTable tabId="5" name="PivotTable1"/>
    <pivotTable tabId="4" name="PivotTable1"/>
    <pivotTable tabId="10" name="PivotTable2"/>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9" name="PivotTable1"/>
    <pivotTable tabId="7" name="PivotTable1"/>
    <pivotTable tabId="8" name="PivotTable1"/>
    <pivotTable tabId="6" name="PivotTable1"/>
    <pivotTable tabId="5" name="PivotTable1"/>
    <pivotTable tabId="4" name="PivotTable1"/>
    <pivotTable tabId="10" name="PivotTable2"/>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1"/>
    <pivotTable tabId="9" name="PivotTable1"/>
    <pivotTable tabId="7" name="PivotTable1"/>
    <pivotTable tabId="8" name="PivotTable1"/>
    <pivotTable tabId="6" name="PivotTable1"/>
    <pivotTable tabId="5" name="PivotTable1"/>
    <pivotTable tabId="4" name="PivotTable1"/>
    <pivotTable tabId="10" name="PivotTable2"/>
  </pivotTables>
  <data>
    <tabular pivotCacheId="1">
      <items count="4">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ly_Income" sourceName="Monthly Income">
  <pivotTables>
    <pivotTable tabId="3" name="PivotTable1"/>
    <pivotTable tabId="9" name="PivotTable1"/>
    <pivotTable tabId="7" name="PivotTable1"/>
    <pivotTable tabId="8" name="PivotTable1"/>
    <pivotTable tabId="6" name="PivotTable1"/>
    <pivotTable tabId="5" name="PivotTable1"/>
    <pivotTable tabId="4" name="PivotTable1"/>
    <pivotTable tabId="10" name="PivotTable2"/>
  </pivotTables>
  <data>
    <tabular pivotCacheId="1">
      <items count="5">
        <i x="3" s="1"/>
        <i x="4"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Educational_Qualifications" sourceName="Educational Qualifications">
  <pivotTables>
    <pivotTable tabId="3" name="PivotTable1"/>
    <pivotTable tabId="9" name="PivotTable1"/>
    <pivotTable tabId="7" name="PivotTable1"/>
    <pivotTable tabId="8" name="PivotTable1"/>
    <pivotTable tabId="6" name="PivotTable1"/>
    <pivotTable tabId="5" name="PivotTable1"/>
    <pivotTable tabId="4" name="PivotTable1"/>
    <pivotTable tabId="10" name="PivotTable2"/>
  </pivotTables>
  <data>
    <tabular pivotCacheId="1">
      <items count="5">
        <i x="1" s="1"/>
        <i x="2" s="1"/>
        <i x="0"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3" name="PivotTable1"/>
    <pivotTable tabId="9" name="PivotTable1"/>
    <pivotTable tabId="7" name="PivotTable1"/>
    <pivotTable tabId="8" name="PivotTable1"/>
    <pivotTable tabId="6" name="PivotTable1"/>
    <pivotTable tabId="5" name="PivotTable1"/>
    <pivotTable tabId="4" name="PivotTable1"/>
    <pivotTable tabId="10" name="PivotTable2"/>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group" cache="Slicer_Age_group" caption="Age group" rowHeight="241300"/>
  <slicer name="Gender" cache="Slicer_Gender" caption="Gender" rowHeight="241300"/>
  <slicer name="Marital Status" cache="Slicer_Marital_Status" caption="Marital Status" rowHeight="241300"/>
  <slicer name="Occupation" cache="Slicer_Occupation" caption="Occupation" rowHeight="241300"/>
  <slicer name="Monthly Income" cache="Slicer_Monthly_Income" caption="Monthly Income" rowHeight="241300"/>
  <slicer name="Educational Qualifications" cache="Slicer_Educational_Qualifications" caption="Educational Qualifications" rowHeight="241300"/>
  <slicer name="Customer Type" cache="Slicer_Customer_Type" caption="Customer Type"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zoomScale="94" workbookViewId="0">
      <selection activeCell="D4" sqref="D4"/>
    </sheetView>
  </sheetViews>
  <sheetFormatPr defaultRowHeight="15" x14ac:dyDescent="0.25"/>
  <cols>
    <col min="1" max="1" width="24.5" bestFit="1" customWidth="1"/>
    <col min="2" max="2" width="17.625" bestFit="1" customWidth="1"/>
    <col min="3" max="3" width="12.375" bestFit="1" customWidth="1"/>
    <col min="4" max="4" width="13.875" bestFit="1" customWidth="1"/>
  </cols>
  <sheetData>
    <row r="3" spans="1:4" x14ac:dyDescent="0.25">
      <c r="A3" s="2" t="s">
        <v>41</v>
      </c>
      <c r="B3" s="2" t="s">
        <v>42</v>
      </c>
    </row>
    <row r="4" spans="1:4" x14ac:dyDescent="0.25">
      <c r="A4" s="2" t="s">
        <v>3</v>
      </c>
      <c r="B4" t="s">
        <v>43</v>
      </c>
      <c r="C4" t="s">
        <v>44</v>
      </c>
      <c r="D4" t="s">
        <v>45</v>
      </c>
    </row>
    <row r="5" spans="1:4" x14ac:dyDescent="0.25">
      <c r="A5" s="3" t="s">
        <v>27</v>
      </c>
      <c r="B5" s="4">
        <v>33</v>
      </c>
      <c r="C5" s="4">
        <v>13</v>
      </c>
      <c r="D5" s="4">
        <v>72</v>
      </c>
    </row>
    <row r="6" spans="1:4" x14ac:dyDescent="0.25">
      <c r="A6" s="3" t="s">
        <v>36</v>
      </c>
      <c r="B6" s="4">
        <v>1</v>
      </c>
      <c r="C6" s="4">
        <v>2</v>
      </c>
      <c r="D6" s="4">
        <v>6</v>
      </c>
    </row>
    <row r="7" spans="1:4" x14ac:dyDescent="0.25">
      <c r="A7" s="3" t="s">
        <v>29</v>
      </c>
      <c r="B7" s="4">
        <v>16</v>
      </c>
      <c r="C7" s="4">
        <v>7</v>
      </c>
      <c r="D7" s="4">
        <v>31</v>
      </c>
    </row>
    <row r="8" spans="1:4" x14ac:dyDescent="0.25">
      <c r="A8" s="3" t="s">
        <v>15</v>
      </c>
      <c r="B8" s="4">
        <v>21</v>
      </c>
      <c r="C8" s="4">
        <v>12</v>
      </c>
      <c r="D8" s="4">
        <v>174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D27" sqref="D27"/>
    </sheetView>
  </sheetViews>
  <sheetFormatPr defaultRowHeight="15" x14ac:dyDescent="0.25"/>
  <cols>
    <col min="1" max="1" width="16.125" bestFit="1" customWidth="1"/>
    <col min="2" max="2" width="14.75" bestFit="1" customWidth="1"/>
    <col min="3" max="3" width="3.875" bestFit="1" customWidth="1"/>
    <col min="4" max="4" width="11.25" customWidth="1"/>
  </cols>
  <sheetData>
    <row r="3" spans="1:3" x14ac:dyDescent="0.25">
      <c r="A3" s="2" t="s">
        <v>46</v>
      </c>
      <c r="B3" s="2" t="s">
        <v>42</v>
      </c>
    </row>
    <row r="4" spans="1:3" x14ac:dyDescent="0.25">
      <c r="A4" s="2" t="s">
        <v>4</v>
      </c>
      <c r="B4" t="s">
        <v>34</v>
      </c>
      <c r="C4" t="s">
        <v>19</v>
      </c>
    </row>
    <row r="5" spans="1:3" x14ac:dyDescent="0.25">
      <c r="A5" s="3" t="s">
        <v>30</v>
      </c>
      <c r="B5" s="4">
        <v>13</v>
      </c>
      <c r="C5" s="4">
        <v>32</v>
      </c>
    </row>
    <row r="6" spans="1:3" x14ac:dyDescent="0.25">
      <c r="A6" s="3" t="s">
        <v>31</v>
      </c>
      <c r="B6" s="4">
        <v>27</v>
      </c>
      <c r="C6" s="4">
        <v>42</v>
      </c>
    </row>
    <row r="7" spans="1:3" x14ac:dyDescent="0.25">
      <c r="A7" s="3" t="s">
        <v>21</v>
      </c>
      <c r="B7" s="4">
        <v>6</v>
      </c>
      <c r="C7" s="4">
        <v>19</v>
      </c>
    </row>
    <row r="8" spans="1:3" x14ac:dyDescent="0.25">
      <c r="A8" s="3" t="s">
        <v>28</v>
      </c>
      <c r="B8" s="4">
        <v>18</v>
      </c>
      <c r="C8" s="4">
        <v>44</v>
      </c>
    </row>
    <row r="9" spans="1:3" x14ac:dyDescent="0.25">
      <c r="A9" s="3" t="s">
        <v>16</v>
      </c>
      <c r="B9" s="4">
        <v>23</v>
      </c>
      <c r="C9" s="4">
        <v>164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A3" sqref="A3:C7"/>
    </sheetView>
  </sheetViews>
  <sheetFormatPr defaultRowHeight="15" x14ac:dyDescent="0.25"/>
  <cols>
    <col min="1" max="1" width="14.125" bestFit="1" customWidth="1"/>
    <col min="2" max="2" width="14.75" bestFit="1" customWidth="1"/>
    <col min="3" max="3" width="3.875" customWidth="1"/>
    <col min="4" max="4" width="10.5" bestFit="1" customWidth="1"/>
  </cols>
  <sheetData>
    <row r="3" spans="1:3" x14ac:dyDescent="0.25">
      <c r="A3" s="2" t="s">
        <v>46</v>
      </c>
      <c r="B3" s="2" t="s">
        <v>42</v>
      </c>
    </row>
    <row r="4" spans="1:3" x14ac:dyDescent="0.25">
      <c r="A4" s="2" t="s">
        <v>50</v>
      </c>
      <c r="B4" t="s">
        <v>34</v>
      </c>
      <c r="C4" t="s">
        <v>19</v>
      </c>
    </row>
    <row r="5" spans="1:3" x14ac:dyDescent="0.25">
      <c r="A5" s="3" t="s">
        <v>47</v>
      </c>
      <c r="B5" s="4">
        <v>27</v>
      </c>
      <c r="C5" s="4">
        <v>190</v>
      </c>
    </row>
    <row r="6" spans="1:3" x14ac:dyDescent="0.25">
      <c r="A6" s="3" t="s">
        <v>48</v>
      </c>
      <c r="B6" s="4">
        <v>50</v>
      </c>
      <c r="C6" s="4">
        <v>87</v>
      </c>
    </row>
    <row r="7" spans="1:3" x14ac:dyDescent="0.25">
      <c r="A7" s="3" t="s">
        <v>49</v>
      </c>
      <c r="B7" s="4">
        <v>10</v>
      </c>
      <c r="C7" s="4">
        <v>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H4" sqref="H4"/>
    </sheetView>
  </sheetViews>
  <sheetFormatPr defaultRowHeight="15" x14ac:dyDescent="0.25"/>
  <cols>
    <col min="1" max="1" width="16.125" bestFit="1" customWidth="1"/>
    <col min="2" max="2" width="14.75" customWidth="1"/>
    <col min="3" max="3" width="7.375" customWidth="1"/>
    <col min="4" max="4" width="10.5" bestFit="1" customWidth="1"/>
  </cols>
  <sheetData>
    <row r="3" spans="1:3" x14ac:dyDescent="0.25">
      <c r="A3" s="2" t="s">
        <v>51</v>
      </c>
      <c r="B3" s="2" t="s">
        <v>42</v>
      </c>
    </row>
    <row r="4" spans="1:3" x14ac:dyDescent="0.25">
      <c r="A4" s="2" t="s">
        <v>1</v>
      </c>
      <c r="B4" t="s">
        <v>25</v>
      </c>
      <c r="C4" t="s">
        <v>20</v>
      </c>
    </row>
    <row r="5" spans="1:3" x14ac:dyDescent="0.25">
      <c r="A5" s="3" t="s">
        <v>13</v>
      </c>
      <c r="B5" s="4">
        <v>27</v>
      </c>
      <c r="C5" s="4">
        <v>139</v>
      </c>
    </row>
    <row r="6" spans="1:3" x14ac:dyDescent="0.25">
      <c r="A6" s="3" t="s">
        <v>24</v>
      </c>
      <c r="B6" s="4">
        <v>44</v>
      </c>
      <c r="C6" s="4">
        <v>178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L15" sqref="L15"/>
    </sheetView>
  </sheetViews>
  <sheetFormatPr defaultRowHeight="15" x14ac:dyDescent="0.25"/>
  <cols>
    <col min="1" max="1" width="16.125" customWidth="1"/>
    <col min="2" max="2" width="14.75" customWidth="1"/>
    <col min="3" max="3" width="7.375" customWidth="1"/>
    <col min="4" max="4" width="10.5" customWidth="1"/>
    <col min="5" max="5" width="10.5" bestFit="1" customWidth="1"/>
  </cols>
  <sheetData>
    <row r="3" spans="1:3" x14ac:dyDescent="0.25">
      <c r="A3" s="2" t="s">
        <v>51</v>
      </c>
      <c r="B3" s="2" t="s">
        <v>42</v>
      </c>
    </row>
    <row r="4" spans="1:3" x14ac:dyDescent="0.25">
      <c r="A4" s="2" t="s">
        <v>7</v>
      </c>
      <c r="B4" t="s">
        <v>25</v>
      </c>
      <c r="C4" t="s">
        <v>20</v>
      </c>
    </row>
    <row r="5" spans="1:3" x14ac:dyDescent="0.25">
      <c r="A5" s="3" t="s">
        <v>18</v>
      </c>
      <c r="B5" s="4">
        <v>26</v>
      </c>
      <c r="C5" s="4">
        <v>120</v>
      </c>
    </row>
    <row r="6" spans="1:3" x14ac:dyDescent="0.25">
      <c r="A6" s="3" t="s">
        <v>32</v>
      </c>
      <c r="B6" s="4">
        <v>6</v>
      </c>
      <c r="C6" s="4">
        <v>18</v>
      </c>
    </row>
    <row r="7" spans="1:3" x14ac:dyDescent="0.25">
      <c r="A7" s="3" t="s">
        <v>23</v>
      </c>
      <c r="B7" s="4">
        <v>39</v>
      </c>
      <c r="C7" s="4">
        <v>179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A3" sqref="A3:C9"/>
    </sheetView>
  </sheetViews>
  <sheetFormatPr defaultRowHeight="15" x14ac:dyDescent="0.25"/>
  <cols>
    <col min="1" max="1" width="16.125" bestFit="1" customWidth="1"/>
    <col min="2" max="2" width="14.75" customWidth="1"/>
    <col min="3" max="3" width="7.375" customWidth="1"/>
    <col min="4" max="4" width="10.5" bestFit="1" customWidth="1"/>
  </cols>
  <sheetData>
    <row r="3" spans="1:3" x14ac:dyDescent="0.25">
      <c r="A3" s="2" t="s">
        <v>51</v>
      </c>
      <c r="B3" s="2" t="s">
        <v>42</v>
      </c>
    </row>
    <row r="4" spans="1:3" x14ac:dyDescent="0.25">
      <c r="A4" s="2" t="s">
        <v>52</v>
      </c>
      <c r="B4" t="s">
        <v>25</v>
      </c>
      <c r="C4" t="s">
        <v>20</v>
      </c>
    </row>
    <row r="5" spans="1:3" x14ac:dyDescent="0.25">
      <c r="A5" s="3" t="s">
        <v>22</v>
      </c>
      <c r="B5" s="4">
        <v>42</v>
      </c>
      <c r="C5" s="4">
        <v>135</v>
      </c>
    </row>
    <row r="6" spans="1:3" x14ac:dyDescent="0.25">
      <c r="A6" s="3" t="s">
        <v>33</v>
      </c>
      <c r="B6" s="4">
        <v>5</v>
      </c>
      <c r="C6" s="4">
        <v>18</v>
      </c>
    </row>
    <row r="7" spans="1:3" x14ac:dyDescent="0.25">
      <c r="A7" s="3" t="s">
        <v>17</v>
      </c>
      <c r="B7" s="4">
        <v>20</v>
      </c>
      <c r="C7" s="4">
        <v>154</v>
      </c>
    </row>
    <row r="8" spans="1:3" x14ac:dyDescent="0.25">
      <c r="A8" s="3" t="s">
        <v>38</v>
      </c>
      <c r="B8" s="4">
        <v>3</v>
      </c>
      <c r="C8" s="4">
        <v>9</v>
      </c>
    </row>
    <row r="9" spans="1:3" x14ac:dyDescent="0.25">
      <c r="A9" s="3" t="s">
        <v>37</v>
      </c>
      <c r="B9" s="4">
        <v>1</v>
      </c>
      <c r="C9" s="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2.625" bestFit="1" customWidth="1"/>
    <col min="2" max="2" width="19.375" bestFit="1" customWidth="1"/>
  </cols>
  <sheetData>
    <row r="3" spans="1:2" x14ac:dyDescent="0.25">
      <c r="A3" s="2" t="s">
        <v>52</v>
      </c>
      <c r="B3" t="s">
        <v>53</v>
      </c>
    </row>
    <row r="4" spans="1:2" x14ac:dyDescent="0.25">
      <c r="A4" s="3" t="s">
        <v>27</v>
      </c>
      <c r="B4" s="7">
        <v>3.2796610169491527</v>
      </c>
    </row>
    <row r="5" spans="1:2" x14ac:dyDescent="0.25">
      <c r="A5" s="3" t="s">
        <v>36</v>
      </c>
      <c r="B5" s="7">
        <v>4.7777777777777777</v>
      </c>
    </row>
    <row r="6" spans="1:2" x14ac:dyDescent="0.25">
      <c r="A6" s="3" t="s">
        <v>29</v>
      </c>
      <c r="B6" s="7">
        <v>3.5185185185185186</v>
      </c>
    </row>
    <row r="7" spans="1:2" x14ac:dyDescent="0.25">
      <c r="A7" s="3" t="s">
        <v>15</v>
      </c>
      <c r="B7" s="7">
        <v>3.1545893719806761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K20" sqref="K20"/>
    </sheetView>
  </sheetViews>
  <sheetFormatPr defaultRowHeight="15" x14ac:dyDescent="0.25"/>
  <cols>
    <col min="1" max="1" width="8.75" bestFit="1" customWidth="1"/>
    <col min="2" max="2" width="10.25" bestFit="1" customWidth="1"/>
  </cols>
  <sheetData>
    <row r="3" spans="1:2" x14ac:dyDescent="0.25">
      <c r="A3" s="2" t="s">
        <v>11</v>
      </c>
      <c r="B3" t="s">
        <v>54</v>
      </c>
    </row>
    <row r="4" spans="1:2" x14ac:dyDescent="0.25">
      <c r="A4" s="3" t="s">
        <v>34</v>
      </c>
      <c r="B4" s="8">
        <v>0.22422680412371135</v>
      </c>
    </row>
    <row r="5" spans="1:2" x14ac:dyDescent="0.25">
      <c r="A5" s="3" t="s">
        <v>19</v>
      </c>
      <c r="B5" s="8">
        <v>0.77577319587628868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89"/>
  <sheetViews>
    <sheetView workbookViewId="0">
      <pane ySplit="1" topLeftCell="A369" activePane="bottomLeft" state="frozen"/>
      <selection pane="bottomLeft" activeCell="O363" sqref="O363"/>
    </sheetView>
  </sheetViews>
  <sheetFormatPr defaultRowHeight="15" x14ac:dyDescent="0.25"/>
  <cols>
    <col min="15" max="15" width="18" customWidth="1"/>
  </cols>
  <sheetData>
    <row r="1" spans="1:15" ht="15.75" x14ac:dyDescent="0.25">
      <c r="A1" s="1" t="s">
        <v>0</v>
      </c>
      <c r="B1" s="1" t="s">
        <v>39</v>
      </c>
      <c r="C1" s="1" t="s">
        <v>1</v>
      </c>
      <c r="D1" s="1" t="s">
        <v>2</v>
      </c>
      <c r="E1" s="1" t="s">
        <v>3</v>
      </c>
      <c r="F1" s="1" t="s">
        <v>4</v>
      </c>
      <c r="G1" s="1" t="s">
        <v>5</v>
      </c>
      <c r="H1" s="1" t="s">
        <v>6</v>
      </c>
      <c r="I1" s="1" t="s">
        <v>7</v>
      </c>
      <c r="J1" s="1" t="s">
        <v>8</v>
      </c>
      <c r="K1" s="1" t="s">
        <v>9</v>
      </c>
      <c r="L1" s="1" t="s">
        <v>10</v>
      </c>
      <c r="M1" s="1" t="s">
        <v>11</v>
      </c>
      <c r="N1" s="1" t="s">
        <v>12</v>
      </c>
      <c r="O1" s="1" t="s">
        <v>40</v>
      </c>
    </row>
    <row r="2" spans="1:15" x14ac:dyDescent="0.25">
      <c r="A2">
        <v>20</v>
      </c>
      <c r="B2" t="str">
        <f>IF(A2&lt;18, "Under 18", IF(A2&lt;=24, "18-24", IF(A2&lt;=29, "25-29", IF(A2&lt;=33, "30-33", "34+"))))</f>
        <v>18-24</v>
      </c>
      <c r="C2" t="s">
        <v>13</v>
      </c>
      <c r="D2" t="s">
        <v>14</v>
      </c>
      <c r="E2" t="s">
        <v>15</v>
      </c>
      <c r="F2" t="s">
        <v>16</v>
      </c>
      <c r="G2" t="s">
        <v>17</v>
      </c>
      <c r="H2">
        <v>4</v>
      </c>
      <c r="I2" t="s">
        <v>18</v>
      </c>
      <c r="J2">
        <v>12.976599999999999</v>
      </c>
      <c r="K2">
        <v>77.599299999999999</v>
      </c>
      <c r="L2">
        <v>560001</v>
      </c>
      <c r="M2" t="s">
        <v>19</v>
      </c>
      <c r="N2" t="s">
        <v>20</v>
      </c>
      <c r="O2" t="str">
        <f>IF(AND(M2="Yes",N2="Positive"),"Loyal Customer",
 IF(AND(M2="Yes",N2="Negative"),"At Risk",
 IF(AND(M2="No",N2="Positive"),"Lost Potential","Churned &amp; Unhappy")))</f>
        <v>Loyal Customer</v>
      </c>
    </row>
    <row r="3" spans="1:15" x14ac:dyDescent="0.25">
      <c r="A3">
        <v>24</v>
      </c>
      <c r="B3" t="str">
        <f t="shared" ref="B3:B66" si="0">IF(A3&lt;18, "Under 18", IF(A3&lt;=24, "18-24", IF(A3&lt;=29, "25-29", IF(A3&lt;=33, "30-33", "34+"))))</f>
        <v>18-24</v>
      </c>
      <c r="C3" t="s">
        <v>13</v>
      </c>
      <c r="D3" t="s">
        <v>14</v>
      </c>
      <c r="E3" t="s">
        <v>15</v>
      </c>
      <c r="F3" t="s">
        <v>21</v>
      </c>
      <c r="G3" t="s">
        <v>22</v>
      </c>
      <c r="H3">
        <v>3</v>
      </c>
      <c r="I3" t="s">
        <v>23</v>
      </c>
      <c r="J3">
        <v>12.977</v>
      </c>
      <c r="K3">
        <v>77.577299999999994</v>
      </c>
      <c r="L3">
        <v>560009</v>
      </c>
      <c r="M3" t="s">
        <v>19</v>
      </c>
      <c r="N3" t="s">
        <v>20</v>
      </c>
      <c r="O3" t="str">
        <f t="shared" ref="O3:O66" si="1">IF(AND(M3="Yes",N3="Positive"),"Loyal Customer",
 IF(AND(M3="Yes",N3="Negative"),"At Risk",
 IF(AND(M3="No",N3="Positive"),"Lost Potential","Churned &amp; Unhappy")))</f>
        <v>Loyal Customer</v>
      </c>
    </row>
    <row r="4" spans="1:15" x14ac:dyDescent="0.25">
      <c r="A4">
        <v>22</v>
      </c>
      <c r="B4" t="str">
        <f t="shared" si="0"/>
        <v>18-24</v>
      </c>
      <c r="C4" t="s">
        <v>24</v>
      </c>
      <c r="D4" t="s">
        <v>14</v>
      </c>
      <c r="E4" t="s">
        <v>15</v>
      </c>
      <c r="F4" t="s">
        <v>21</v>
      </c>
      <c r="G4" t="s">
        <v>17</v>
      </c>
      <c r="H4">
        <v>3</v>
      </c>
      <c r="I4" t="s">
        <v>23</v>
      </c>
      <c r="J4">
        <v>12.9551</v>
      </c>
      <c r="K4">
        <v>77.659300000000002</v>
      </c>
      <c r="L4">
        <v>560017</v>
      </c>
      <c r="M4" t="s">
        <v>19</v>
      </c>
      <c r="N4" t="s">
        <v>25</v>
      </c>
      <c r="O4" t="str">
        <f t="shared" si="1"/>
        <v>Churned &amp; Unhappy</v>
      </c>
    </row>
    <row r="5" spans="1:15" x14ac:dyDescent="0.25">
      <c r="A5">
        <v>22</v>
      </c>
      <c r="B5" t="str">
        <f t="shared" si="0"/>
        <v>18-24</v>
      </c>
      <c r="C5" t="s">
        <v>13</v>
      </c>
      <c r="D5" t="s">
        <v>14</v>
      </c>
      <c r="E5" t="s">
        <v>15</v>
      </c>
      <c r="F5" t="s">
        <v>16</v>
      </c>
      <c r="G5" t="s">
        <v>22</v>
      </c>
      <c r="H5">
        <v>6</v>
      </c>
      <c r="I5" t="s">
        <v>18</v>
      </c>
      <c r="J5">
        <v>12.9473</v>
      </c>
      <c r="K5">
        <v>77.561599999999999</v>
      </c>
      <c r="L5">
        <v>560019</v>
      </c>
      <c r="M5" t="s">
        <v>19</v>
      </c>
      <c r="N5" t="s">
        <v>20</v>
      </c>
      <c r="O5" t="str">
        <f t="shared" si="1"/>
        <v>Loyal Customer</v>
      </c>
    </row>
    <row r="6" spans="1:15" x14ac:dyDescent="0.25">
      <c r="A6">
        <v>22</v>
      </c>
      <c r="B6" t="str">
        <f t="shared" si="0"/>
        <v>18-24</v>
      </c>
      <c r="C6" t="s">
        <v>24</v>
      </c>
      <c r="D6" t="s">
        <v>14</v>
      </c>
      <c r="E6" t="s">
        <v>15</v>
      </c>
      <c r="F6" t="s">
        <v>21</v>
      </c>
      <c r="G6" t="s">
        <v>17</v>
      </c>
      <c r="H6">
        <v>4</v>
      </c>
      <c r="I6" t="s">
        <v>18</v>
      </c>
      <c r="J6">
        <v>12.984999999999999</v>
      </c>
      <c r="K6">
        <v>77.553299999999993</v>
      </c>
      <c r="L6">
        <v>560010</v>
      </c>
      <c r="M6" t="s">
        <v>19</v>
      </c>
      <c r="N6" t="s">
        <v>20</v>
      </c>
      <c r="O6" t="str">
        <f t="shared" si="1"/>
        <v>Loyal Customer</v>
      </c>
    </row>
    <row r="7" spans="1:15" x14ac:dyDescent="0.25">
      <c r="A7">
        <v>27</v>
      </c>
      <c r="B7" t="str">
        <f t="shared" si="0"/>
        <v>25-29</v>
      </c>
      <c r="C7" t="s">
        <v>13</v>
      </c>
      <c r="D7" t="s">
        <v>26</v>
      </c>
      <c r="E7" t="s">
        <v>27</v>
      </c>
      <c r="F7" t="s">
        <v>28</v>
      </c>
      <c r="G7" t="s">
        <v>17</v>
      </c>
      <c r="H7">
        <v>2</v>
      </c>
      <c r="I7" t="s">
        <v>23</v>
      </c>
      <c r="J7">
        <v>12.9299</v>
      </c>
      <c r="K7">
        <v>77.684799999999996</v>
      </c>
      <c r="L7">
        <v>560103</v>
      </c>
      <c r="M7" t="s">
        <v>19</v>
      </c>
      <c r="N7" t="s">
        <v>20</v>
      </c>
      <c r="O7" t="str">
        <f t="shared" si="1"/>
        <v>Loyal Customer</v>
      </c>
    </row>
    <row r="8" spans="1:15" x14ac:dyDescent="0.25">
      <c r="A8">
        <v>22</v>
      </c>
      <c r="B8" t="str">
        <f t="shared" si="0"/>
        <v>18-24</v>
      </c>
      <c r="C8" t="s">
        <v>24</v>
      </c>
      <c r="D8" t="s">
        <v>14</v>
      </c>
      <c r="E8" t="s">
        <v>15</v>
      </c>
      <c r="F8" t="s">
        <v>16</v>
      </c>
      <c r="G8" t="s">
        <v>22</v>
      </c>
      <c r="H8">
        <v>3</v>
      </c>
      <c r="I8" t="s">
        <v>23</v>
      </c>
      <c r="J8">
        <v>12.977</v>
      </c>
      <c r="K8">
        <v>77.577299999999994</v>
      </c>
      <c r="L8">
        <v>560009</v>
      </c>
      <c r="M8" t="s">
        <v>19</v>
      </c>
      <c r="N8" t="s">
        <v>20</v>
      </c>
      <c r="O8" t="str">
        <f t="shared" si="1"/>
        <v>Loyal Customer</v>
      </c>
    </row>
    <row r="9" spans="1:15" x14ac:dyDescent="0.25">
      <c r="A9">
        <v>24</v>
      </c>
      <c r="B9" t="str">
        <f t="shared" si="0"/>
        <v>18-24</v>
      </c>
      <c r="C9" t="s">
        <v>13</v>
      </c>
      <c r="D9" t="s">
        <v>14</v>
      </c>
      <c r="E9" t="s">
        <v>15</v>
      </c>
      <c r="F9" t="s">
        <v>16</v>
      </c>
      <c r="G9" t="s">
        <v>17</v>
      </c>
      <c r="H9">
        <v>3</v>
      </c>
      <c r="I9" t="s">
        <v>23</v>
      </c>
      <c r="J9">
        <v>12.982799999999999</v>
      </c>
      <c r="K9">
        <v>77.613100000000003</v>
      </c>
      <c r="L9">
        <v>560042</v>
      </c>
      <c r="M9" t="s">
        <v>19</v>
      </c>
      <c r="N9" t="s">
        <v>20</v>
      </c>
      <c r="O9" t="str">
        <f t="shared" si="1"/>
        <v>Loyal Customer</v>
      </c>
    </row>
    <row r="10" spans="1:15" x14ac:dyDescent="0.25">
      <c r="A10">
        <v>23</v>
      </c>
      <c r="B10" t="str">
        <f t="shared" si="0"/>
        <v>18-24</v>
      </c>
      <c r="C10" t="s">
        <v>13</v>
      </c>
      <c r="D10" t="s">
        <v>14</v>
      </c>
      <c r="E10" t="s">
        <v>15</v>
      </c>
      <c r="F10" t="s">
        <v>16</v>
      </c>
      <c r="G10" t="s">
        <v>17</v>
      </c>
      <c r="H10">
        <v>2</v>
      </c>
      <c r="I10" t="s">
        <v>23</v>
      </c>
      <c r="J10">
        <v>12.976599999999999</v>
      </c>
      <c r="K10">
        <v>77.599299999999999</v>
      </c>
      <c r="L10">
        <v>560001</v>
      </c>
      <c r="M10" t="s">
        <v>19</v>
      </c>
      <c r="N10" t="s">
        <v>20</v>
      </c>
      <c r="O10" t="str">
        <f t="shared" si="1"/>
        <v>Loyal Customer</v>
      </c>
    </row>
    <row r="11" spans="1:15" x14ac:dyDescent="0.25">
      <c r="A11">
        <v>23</v>
      </c>
      <c r="B11" t="str">
        <f t="shared" si="0"/>
        <v>18-24</v>
      </c>
      <c r="C11" t="s">
        <v>13</v>
      </c>
      <c r="D11" t="s">
        <v>14</v>
      </c>
      <c r="E11" t="s">
        <v>15</v>
      </c>
      <c r="F11" t="s">
        <v>16</v>
      </c>
      <c r="G11" t="s">
        <v>17</v>
      </c>
      <c r="H11">
        <v>4</v>
      </c>
      <c r="I11" t="s">
        <v>18</v>
      </c>
      <c r="J11">
        <v>12.9854</v>
      </c>
      <c r="K11">
        <v>77.708100000000002</v>
      </c>
      <c r="L11">
        <v>560048</v>
      </c>
      <c r="M11" t="s">
        <v>19</v>
      </c>
      <c r="N11" t="s">
        <v>20</v>
      </c>
      <c r="O11" t="str">
        <f t="shared" si="1"/>
        <v>Loyal Customer</v>
      </c>
    </row>
    <row r="12" spans="1:15" x14ac:dyDescent="0.25">
      <c r="A12">
        <v>22</v>
      </c>
      <c r="B12" t="str">
        <f t="shared" si="0"/>
        <v>18-24</v>
      </c>
      <c r="C12" t="s">
        <v>13</v>
      </c>
      <c r="D12" t="s">
        <v>14</v>
      </c>
      <c r="E12" t="s">
        <v>15</v>
      </c>
      <c r="F12" t="s">
        <v>16</v>
      </c>
      <c r="G12" t="s">
        <v>17</v>
      </c>
      <c r="H12">
        <v>5</v>
      </c>
      <c r="I12" t="s">
        <v>18</v>
      </c>
      <c r="J12">
        <v>12.984999999999999</v>
      </c>
      <c r="K12">
        <v>77.553299999999993</v>
      </c>
      <c r="L12">
        <v>560010</v>
      </c>
      <c r="M12" t="s">
        <v>19</v>
      </c>
      <c r="N12" t="s">
        <v>20</v>
      </c>
      <c r="O12" t="str">
        <f t="shared" si="1"/>
        <v>Loyal Customer</v>
      </c>
    </row>
    <row r="13" spans="1:15" x14ac:dyDescent="0.25">
      <c r="A13">
        <v>23</v>
      </c>
      <c r="B13" t="str">
        <f t="shared" si="0"/>
        <v>18-24</v>
      </c>
      <c r="C13" t="s">
        <v>24</v>
      </c>
      <c r="D13" t="s">
        <v>14</v>
      </c>
      <c r="E13" t="s">
        <v>15</v>
      </c>
      <c r="F13" t="s">
        <v>21</v>
      </c>
      <c r="G13" t="s">
        <v>17</v>
      </c>
      <c r="H13">
        <v>2</v>
      </c>
      <c r="I13" t="s">
        <v>23</v>
      </c>
      <c r="J13">
        <v>12.977</v>
      </c>
      <c r="K13">
        <v>77.577299999999994</v>
      </c>
      <c r="L13">
        <v>560009</v>
      </c>
      <c r="M13" t="s">
        <v>19</v>
      </c>
      <c r="N13" t="s">
        <v>25</v>
      </c>
      <c r="O13" t="str">
        <f t="shared" si="1"/>
        <v>Churned &amp; Unhappy</v>
      </c>
    </row>
    <row r="14" spans="1:15" x14ac:dyDescent="0.25">
      <c r="A14">
        <v>23</v>
      </c>
      <c r="B14" t="str">
        <f t="shared" si="0"/>
        <v>18-24</v>
      </c>
      <c r="C14" t="s">
        <v>24</v>
      </c>
      <c r="D14" t="s">
        <v>14</v>
      </c>
      <c r="E14" t="s">
        <v>15</v>
      </c>
      <c r="F14" t="s">
        <v>16</v>
      </c>
      <c r="G14" t="s">
        <v>17</v>
      </c>
      <c r="H14">
        <v>5</v>
      </c>
      <c r="I14" t="s">
        <v>18</v>
      </c>
      <c r="J14">
        <v>12.8988</v>
      </c>
      <c r="K14">
        <v>77.576400000000007</v>
      </c>
      <c r="L14">
        <v>560078</v>
      </c>
      <c r="M14" t="s">
        <v>19</v>
      </c>
      <c r="N14" t="s">
        <v>20</v>
      </c>
      <c r="O14" t="str">
        <f t="shared" si="1"/>
        <v>Loyal Customer</v>
      </c>
    </row>
    <row r="15" spans="1:15" x14ac:dyDescent="0.25">
      <c r="A15">
        <v>21</v>
      </c>
      <c r="B15" t="str">
        <f t="shared" si="0"/>
        <v>18-24</v>
      </c>
      <c r="C15" t="s">
        <v>24</v>
      </c>
      <c r="D15" t="s">
        <v>14</v>
      </c>
      <c r="E15" t="s">
        <v>15</v>
      </c>
      <c r="F15" t="s">
        <v>16</v>
      </c>
      <c r="G15" t="s">
        <v>22</v>
      </c>
      <c r="H15">
        <v>4</v>
      </c>
      <c r="I15" t="s">
        <v>18</v>
      </c>
      <c r="J15">
        <v>12.977</v>
      </c>
      <c r="K15">
        <v>77.577299999999994</v>
      </c>
      <c r="L15">
        <v>560009</v>
      </c>
      <c r="M15" t="s">
        <v>19</v>
      </c>
      <c r="N15" t="s">
        <v>20</v>
      </c>
      <c r="O15" t="str">
        <f t="shared" si="1"/>
        <v>Loyal Customer</v>
      </c>
    </row>
    <row r="16" spans="1:15" x14ac:dyDescent="0.25">
      <c r="A16">
        <v>23</v>
      </c>
      <c r="B16" t="str">
        <f t="shared" si="0"/>
        <v>18-24</v>
      </c>
      <c r="C16" t="s">
        <v>13</v>
      </c>
      <c r="D16" t="s">
        <v>14</v>
      </c>
      <c r="E16" t="s">
        <v>29</v>
      </c>
      <c r="F16" t="s">
        <v>30</v>
      </c>
      <c r="G16" t="s">
        <v>17</v>
      </c>
      <c r="H16">
        <v>5</v>
      </c>
      <c r="I16" t="s">
        <v>18</v>
      </c>
      <c r="J16">
        <v>12.9438</v>
      </c>
      <c r="K16">
        <v>77.573800000000006</v>
      </c>
      <c r="L16">
        <v>560004</v>
      </c>
      <c r="M16" t="s">
        <v>19</v>
      </c>
      <c r="N16" t="s">
        <v>20</v>
      </c>
      <c r="O16" t="str">
        <f t="shared" si="1"/>
        <v>Loyal Customer</v>
      </c>
    </row>
    <row r="17" spans="1:15" x14ac:dyDescent="0.25">
      <c r="A17">
        <v>24</v>
      </c>
      <c r="B17" t="str">
        <f t="shared" si="0"/>
        <v>18-24</v>
      </c>
      <c r="C17" t="s">
        <v>13</v>
      </c>
      <c r="D17" t="s">
        <v>14</v>
      </c>
      <c r="E17" t="s">
        <v>15</v>
      </c>
      <c r="F17" t="s">
        <v>16</v>
      </c>
      <c r="G17" t="s">
        <v>17</v>
      </c>
      <c r="H17">
        <v>6</v>
      </c>
      <c r="I17" t="s">
        <v>18</v>
      </c>
      <c r="J17">
        <v>12.8893</v>
      </c>
      <c r="K17">
        <v>77.639899999999997</v>
      </c>
      <c r="L17">
        <v>560068</v>
      </c>
      <c r="M17" t="s">
        <v>19</v>
      </c>
      <c r="N17" t="s">
        <v>20</v>
      </c>
      <c r="O17" t="str">
        <f t="shared" si="1"/>
        <v>Loyal Customer</v>
      </c>
    </row>
    <row r="18" spans="1:15" x14ac:dyDescent="0.25">
      <c r="A18">
        <v>28</v>
      </c>
      <c r="B18" t="str">
        <f t="shared" si="0"/>
        <v>25-29</v>
      </c>
      <c r="C18" t="s">
        <v>13</v>
      </c>
      <c r="D18" t="s">
        <v>14</v>
      </c>
      <c r="E18" t="s">
        <v>27</v>
      </c>
      <c r="F18" t="s">
        <v>31</v>
      </c>
      <c r="G18" t="s">
        <v>17</v>
      </c>
      <c r="H18">
        <v>2</v>
      </c>
      <c r="I18" t="s">
        <v>23</v>
      </c>
      <c r="J18">
        <v>12.978300000000001</v>
      </c>
      <c r="K18">
        <v>77.640799999999999</v>
      </c>
      <c r="L18">
        <v>560038</v>
      </c>
      <c r="M18" t="s">
        <v>19</v>
      </c>
      <c r="N18" t="s">
        <v>20</v>
      </c>
      <c r="O18" t="str">
        <f t="shared" si="1"/>
        <v>Loyal Customer</v>
      </c>
    </row>
    <row r="19" spans="1:15" x14ac:dyDescent="0.25">
      <c r="A19">
        <v>23</v>
      </c>
      <c r="B19" t="str">
        <f t="shared" si="0"/>
        <v>18-24</v>
      </c>
      <c r="C19" t="s">
        <v>13</v>
      </c>
      <c r="D19" t="s">
        <v>14</v>
      </c>
      <c r="E19" t="s">
        <v>15</v>
      </c>
      <c r="F19" t="s">
        <v>16</v>
      </c>
      <c r="G19" t="s">
        <v>22</v>
      </c>
      <c r="H19">
        <v>3</v>
      </c>
      <c r="I19" t="s">
        <v>23</v>
      </c>
      <c r="J19">
        <v>12.981999999999999</v>
      </c>
      <c r="K19">
        <v>77.625600000000006</v>
      </c>
      <c r="L19">
        <v>560008</v>
      </c>
      <c r="M19" t="s">
        <v>19</v>
      </c>
      <c r="N19" t="s">
        <v>25</v>
      </c>
      <c r="O19" t="str">
        <f t="shared" si="1"/>
        <v>Churned &amp; Unhappy</v>
      </c>
    </row>
    <row r="20" spans="1:15" x14ac:dyDescent="0.25">
      <c r="A20">
        <v>25</v>
      </c>
      <c r="B20" t="str">
        <f t="shared" si="0"/>
        <v>25-29</v>
      </c>
      <c r="C20" t="s">
        <v>24</v>
      </c>
      <c r="D20" t="s">
        <v>14</v>
      </c>
      <c r="E20" t="s">
        <v>15</v>
      </c>
      <c r="F20" t="s">
        <v>16</v>
      </c>
      <c r="G20" t="s">
        <v>22</v>
      </c>
      <c r="H20">
        <v>4</v>
      </c>
      <c r="I20" t="s">
        <v>18</v>
      </c>
      <c r="J20">
        <v>12.8988</v>
      </c>
      <c r="K20">
        <v>77.576400000000007</v>
      </c>
      <c r="L20">
        <v>560078</v>
      </c>
      <c r="M20" t="s">
        <v>19</v>
      </c>
      <c r="N20" t="s">
        <v>25</v>
      </c>
      <c r="O20" t="str">
        <f t="shared" si="1"/>
        <v>Churned &amp; Unhappy</v>
      </c>
    </row>
    <row r="21" spans="1:15" x14ac:dyDescent="0.25">
      <c r="A21">
        <v>21</v>
      </c>
      <c r="B21" t="str">
        <f t="shared" si="0"/>
        <v>18-24</v>
      </c>
      <c r="C21" t="s">
        <v>13</v>
      </c>
      <c r="D21" t="s">
        <v>14</v>
      </c>
      <c r="E21" t="s">
        <v>15</v>
      </c>
      <c r="F21" t="s">
        <v>21</v>
      </c>
      <c r="G21" t="s">
        <v>17</v>
      </c>
      <c r="H21">
        <v>1</v>
      </c>
      <c r="I21" t="s">
        <v>32</v>
      </c>
      <c r="J21">
        <v>12.978300000000001</v>
      </c>
      <c r="K21">
        <v>77.640799999999999</v>
      </c>
      <c r="L21">
        <v>560038</v>
      </c>
      <c r="M21" t="s">
        <v>19</v>
      </c>
      <c r="N21" t="s">
        <v>20</v>
      </c>
      <c r="O21" t="str">
        <f t="shared" si="1"/>
        <v>Loyal Customer</v>
      </c>
    </row>
    <row r="22" spans="1:15" x14ac:dyDescent="0.25">
      <c r="A22">
        <v>24</v>
      </c>
      <c r="B22" t="str">
        <f t="shared" si="0"/>
        <v>18-24</v>
      </c>
      <c r="C22" t="s">
        <v>24</v>
      </c>
      <c r="D22" t="s">
        <v>14</v>
      </c>
      <c r="E22" t="s">
        <v>15</v>
      </c>
      <c r="F22" t="s">
        <v>16</v>
      </c>
      <c r="G22" t="s">
        <v>17</v>
      </c>
      <c r="H22">
        <v>3</v>
      </c>
      <c r="I22" t="s">
        <v>23</v>
      </c>
      <c r="J22">
        <v>12.977</v>
      </c>
      <c r="K22">
        <v>77.577299999999994</v>
      </c>
      <c r="L22">
        <v>560009</v>
      </c>
      <c r="M22" t="s">
        <v>19</v>
      </c>
      <c r="N22" t="s">
        <v>20</v>
      </c>
      <c r="O22" t="str">
        <f t="shared" si="1"/>
        <v>Loyal Customer</v>
      </c>
    </row>
    <row r="23" spans="1:15" x14ac:dyDescent="0.25">
      <c r="A23">
        <v>22</v>
      </c>
      <c r="B23" t="str">
        <f t="shared" si="0"/>
        <v>18-24</v>
      </c>
      <c r="C23" t="s">
        <v>24</v>
      </c>
      <c r="D23" t="s">
        <v>14</v>
      </c>
      <c r="E23" t="s">
        <v>15</v>
      </c>
      <c r="F23" t="s">
        <v>16</v>
      </c>
      <c r="G23" t="s">
        <v>17</v>
      </c>
      <c r="H23">
        <v>4</v>
      </c>
      <c r="I23" t="s">
        <v>18</v>
      </c>
      <c r="J23">
        <v>13.0298</v>
      </c>
      <c r="K23">
        <v>77.604699999999994</v>
      </c>
      <c r="L23">
        <v>560032</v>
      </c>
      <c r="M23" t="s">
        <v>19</v>
      </c>
      <c r="N23" t="s">
        <v>20</v>
      </c>
      <c r="O23" t="str">
        <f t="shared" si="1"/>
        <v>Loyal Customer</v>
      </c>
    </row>
    <row r="24" spans="1:15" x14ac:dyDescent="0.25">
      <c r="A24">
        <v>22</v>
      </c>
      <c r="B24" t="str">
        <f t="shared" si="0"/>
        <v>18-24</v>
      </c>
      <c r="C24" t="s">
        <v>13</v>
      </c>
      <c r="D24" t="s">
        <v>14</v>
      </c>
      <c r="E24" t="s">
        <v>15</v>
      </c>
      <c r="F24" t="s">
        <v>16</v>
      </c>
      <c r="G24" t="s">
        <v>22</v>
      </c>
      <c r="H24">
        <v>4</v>
      </c>
      <c r="I24" t="s">
        <v>18</v>
      </c>
      <c r="J24">
        <v>12.9983</v>
      </c>
      <c r="K24">
        <v>77.640900000000002</v>
      </c>
      <c r="L24">
        <v>560033</v>
      </c>
      <c r="M24" t="s">
        <v>19</v>
      </c>
      <c r="N24" t="s">
        <v>20</v>
      </c>
      <c r="O24" t="str">
        <f t="shared" si="1"/>
        <v>Loyal Customer</v>
      </c>
    </row>
    <row r="25" spans="1:15" x14ac:dyDescent="0.25">
      <c r="A25">
        <v>23</v>
      </c>
      <c r="B25" t="str">
        <f t="shared" si="0"/>
        <v>18-24</v>
      </c>
      <c r="C25" t="s">
        <v>24</v>
      </c>
      <c r="D25" t="s">
        <v>14</v>
      </c>
      <c r="E25" t="s">
        <v>15</v>
      </c>
      <c r="F25" t="s">
        <v>16</v>
      </c>
      <c r="G25" t="s">
        <v>22</v>
      </c>
      <c r="H25">
        <v>4</v>
      </c>
      <c r="I25" t="s">
        <v>18</v>
      </c>
      <c r="J25">
        <v>12.9925</v>
      </c>
      <c r="K25">
        <v>77.563299999999998</v>
      </c>
      <c r="L25">
        <v>560021</v>
      </c>
      <c r="M25" t="s">
        <v>19</v>
      </c>
      <c r="N25" t="s">
        <v>20</v>
      </c>
      <c r="O25" t="str">
        <f t="shared" si="1"/>
        <v>Loyal Customer</v>
      </c>
    </row>
    <row r="26" spans="1:15" x14ac:dyDescent="0.25">
      <c r="A26">
        <v>21</v>
      </c>
      <c r="B26" t="str">
        <f t="shared" si="0"/>
        <v>18-24</v>
      </c>
      <c r="C26" t="s">
        <v>24</v>
      </c>
      <c r="D26" t="s">
        <v>14</v>
      </c>
      <c r="E26" t="s">
        <v>15</v>
      </c>
      <c r="F26" t="s">
        <v>21</v>
      </c>
      <c r="G26" t="s">
        <v>17</v>
      </c>
      <c r="H26">
        <v>3</v>
      </c>
      <c r="I26" t="s">
        <v>23</v>
      </c>
      <c r="J26">
        <v>12.9306</v>
      </c>
      <c r="K26">
        <v>77.543400000000005</v>
      </c>
      <c r="L26">
        <v>560085</v>
      </c>
      <c r="M26" t="s">
        <v>19</v>
      </c>
      <c r="N26" t="s">
        <v>20</v>
      </c>
      <c r="O26" t="str">
        <f t="shared" si="1"/>
        <v>Loyal Customer</v>
      </c>
    </row>
    <row r="27" spans="1:15" x14ac:dyDescent="0.25">
      <c r="A27">
        <v>25</v>
      </c>
      <c r="B27" t="str">
        <f t="shared" si="0"/>
        <v>25-29</v>
      </c>
      <c r="C27" t="s">
        <v>24</v>
      </c>
      <c r="D27" t="s">
        <v>14</v>
      </c>
      <c r="E27" t="s">
        <v>15</v>
      </c>
      <c r="F27" t="s">
        <v>16</v>
      </c>
      <c r="G27" t="s">
        <v>17</v>
      </c>
      <c r="H27">
        <v>3</v>
      </c>
      <c r="I27" t="s">
        <v>23</v>
      </c>
      <c r="J27">
        <v>12.981999999999999</v>
      </c>
      <c r="K27">
        <v>77.625600000000006</v>
      </c>
      <c r="L27">
        <v>560008</v>
      </c>
      <c r="M27" t="s">
        <v>19</v>
      </c>
      <c r="N27" t="s">
        <v>20</v>
      </c>
      <c r="O27" t="str">
        <f t="shared" si="1"/>
        <v>Loyal Customer</v>
      </c>
    </row>
    <row r="28" spans="1:15" x14ac:dyDescent="0.25">
      <c r="A28">
        <v>22</v>
      </c>
      <c r="B28" t="str">
        <f t="shared" si="0"/>
        <v>18-24</v>
      </c>
      <c r="C28" t="s">
        <v>13</v>
      </c>
      <c r="D28" t="s">
        <v>14</v>
      </c>
      <c r="E28" t="s">
        <v>15</v>
      </c>
      <c r="F28" t="s">
        <v>16</v>
      </c>
      <c r="G28" t="s">
        <v>17</v>
      </c>
      <c r="H28">
        <v>5</v>
      </c>
      <c r="I28" t="s">
        <v>18</v>
      </c>
      <c r="J28">
        <v>12.9353</v>
      </c>
      <c r="K28">
        <v>77.558499999999995</v>
      </c>
      <c r="L28">
        <v>560050</v>
      </c>
      <c r="M28" t="s">
        <v>19</v>
      </c>
      <c r="N28" t="s">
        <v>20</v>
      </c>
      <c r="O28" t="str">
        <f t="shared" si="1"/>
        <v>Loyal Customer</v>
      </c>
    </row>
    <row r="29" spans="1:15" x14ac:dyDescent="0.25">
      <c r="A29">
        <v>22</v>
      </c>
      <c r="B29" t="str">
        <f t="shared" si="0"/>
        <v>18-24</v>
      </c>
      <c r="C29" t="s">
        <v>24</v>
      </c>
      <c r="D29" t="s">
        <v>14</v>
      </c>
      <c r="E29" t="s">
        <v>15</v>
      </c>
      <c r="F29" t="s">
        <v>16</v>
      </c>
      <c r="G29" t="s">
        <v>17</v>
      </c>
      <c r="H29">
        <v>3</v>
      </c>
      <c r="I29" t="s">
        <v>23</v>
      </c>
      <c r="J29">
        <v>12.9155</v>
      </c>
      <c r="K29">
        <v>77.513499999999993</v>
      </c>
      <c r="L29">
        <v>560098</v>
      </c>
      <c r="M29" t="s">
        <v>19</v>
      </c>
      <c r="N29" t="s">
        <v>20</v>
      </c>
      <c r="O29" t="str">
        <f t="shared" si="1"/>
        <v>Loyal Customer</v>
      </c>
    </row>
    <row r="30" spans="1:15" x14ac:dyDescent="0.25">
      <c r="A30">
        <v>23</v>
      </c>
      <c r="B30" t="str">
        <f t="shared" si="0"/>
        <v>18-24</v>
      </c>
      <c r="C30" t="s">
        <v>13</v>
      </c>
      <c r="D30" t="s">
        <v>14</v>
      </c>
      <c r="E30" t="s">
        <v>27</v>
      </c>
      <c r="F30" t="s">
        <v>30</v>
      </c>
      <c r="G30" t="s">
        <v>22</v>
      </c>
      <c r="H30">
        <v>3</v>
      </c>
      <c r="I30" t="s">
        <v>23</v>
      </c>
      <c r="J30">
        <v>12.9854</v>
      </c>
      <c r="K30">
        <v>77.708100000000002</v>
      </c>
      <c r="L30">
        <v>560048</v>
      </c>
      <c r="M30" t="s">
        <v>19</v>
      </c>
      <c r="N30" t="s">
        <v>20</v>
      </c>
      <c r="O30" t="str">
        <f t="shared" si="1"/>
        <v>Loyal Customer</v>
      </c>
    </row>
    <row r="31" spans="1:15" x14ac:dyDescent="0.25">
      <c r="A31">
        <v>22</v>
      </c>
      <c r="B31" t="str">
        <f t="shared" si="0"/>
        <v>18-24</v>
      </c>
      <c r="C31" t="s">
        <v>24</v>
      </c>
      <c r="D31" t="s">
        <v>14</v>
      </c>
      <c r="E31" t="s">
        <v>15</v>
      </c>
      <c r="F31" t="s">
        <v>21</v>
      </c>
      <c r="G31" t="s">
        <v>17</v>
      </c>
      <c r="H31">
        <v>4</v>
      </c>
      <c r="I31" t="s">
        <v>18</v>
      </c>
      <c r="J31">
        <v>13.001899999999999</v>
      </c>
      <c r="K31">
        <v>77.571299999999994</v>
      </c>
      <c r="L31">
        <v>560003</v>
      </c>
      <c r="M31" t="s">
        <v>19</v>
      </c>
      <c r="N31" t="s">
        <v>20</v>
      </c>
      <c r="O31" t="str">
        <f t="shared" si="1"/>
        <v>Loyal Customer</v>
      </c>
    </row>
    <row r="32" spans="1:15" x14ac:dyDescent="0.25">
      <c r="A32">
        <v>22</v>
      </c>
      <c r="B32" t="str">
        <f t="shared" si="0"/>
        <v>18-24</v>
      </c>
      <c r="C32" t="s">
        <v>13</v>
      </c>
      <c r="D32" t="s">
        <v>14</v>
      </c>
      <c r="E32" t="s">
        <v>27</v>
      </c>
      <c r="F32" t="s">
        <v>30</v>
      </c>
      <c r="G32" t="s">
        <v>22</v>
      </c>
      <c r="H32">
        <v>5</v>
      </c>
      <c r="I32" t="s">
        <v>18</v>
      </c>
      <c r="J32">
        <v>12.969799999999999</v>
      </c>
      <c r="K32">
        <v>77.75</v>
      </c>
      <c r="L32">
        <v>560066</v>
      </c>
      <c r="M32" t="s">
        <v>19</v>
      </c>
      <c r="N32" t="s">
        <v>20</v>
      </c>
      <c r="O32" t="str">
        <f t="shared" si="1"/>
        <v>Loyal Customer</v>
      </c>
    </row>
    <row r="33" spans="1:15" x14ac:dyDescent="0.25">
      <c r="A33">
        <v>22</v>
      </c>
      <c r="B33" t="str">
        <f t="shared" si="0"/>
        <v>18-24</v>
      </c>
      <c r="C33" t="s">
        <v>24</v>
      </c>
      <c r="D33" t="s">
        <v>14</v>
      </c>
      <c r="E33" t="s">
        <v>15</v>
      </c>
      <c r="F33" t="s">
        <v>16</v>
      </c>
      <c r="G33" t="s">
        <v>17</v>
      </c>
      <c r="H33">
        <v>4</v>
      </c>
      <c r="I33" t="s">
        <v>18</v>
      </c>
      <c r="J33">
        <v>12.978300000000001</v>
      </c>
      <c r="K33">
        <v>77.640799999999999</v>
      </c>
      <c r="L33">
        <v>560038</v>
      </c>
      <c r="M33" t="s">
        <v>19</v>
      </c>
      <c r="N33" t="s">
        <v>20</v>
      </c>
      <c r="O33" t="str">
        <f t="shared" si="1"/>
        <v>Loyal Customer</v>
      </c>
    </row>
    <row r="34" spans="1:15" x14ac:dyDescent="0.25">
      <c r="A34">
        <v>25</v>
      </c>
      <c r="B34" t="str">
        <f t="shared" si="0"/>
        <v>25-29</v>
      </c>
      <c r="C34" t="s">
        <v>24</v>
      </c>
      <c r="D34" t="s">
        <v>26</v>
      </c>
      <c r="E34" t="s">
        <v>27</v>
      </c>
      <c r="F34" t="s">
        <v>28</v>
      </c>
      <c r="G34" t="s">
        <v>33</v>
      </c>
      <c r="H34">
        <v>4</v>
      </c>
      <c r="I34" t="s">
        <v>18</v>
      </c>
      <c r="J34">
        <v>12.9261</v>
      </c>
      <c r="K34">
        <v>77.622100000000003</v>
      </c>
      <c r="L34">
        <v>560034</v>
      </c>
      <c r="M34" t="s">
        <v>19</v>
      </c>
      <c r="N34" t="s">
        <v>20</v>
      </c>
      <c r="O34" t="str">
        <f t="shared" si="1"/>
        <v>Loyal Customer</v>
      </c>
    </row>
    <row r="35" spans="1:15" x14ac:dyDescent="0.25">
      <c r="A35">
        <v>22</v>
      </c>
      <c r="B35" t="str">
        <f t="shared" si="0"/>
        <v>18-24</v>
      </c>
      <c r="C35" t="s">
        <v>13</v>
      </c>
      <c r="D35" t="s">
        <v>14</v>
      </c>
      <c r="E35" t="s">
        <v>15</v>
      </c>
      <c r="F35" t="s">
        <v>30</v>
      </c>
      <c r="G35" t="s">
        <v>17</v>
      </c>
      <c r="H35">
        <v>5</v>
      </c>
      <c r="I35" t="s">
        <v>18</v>
      </c>
      <c r="J35">
        <v>12.984999999999999</v>
      </c>
      <c r="K35">
        <v>77.553299999999993</v>
      </c>
      <c r="L35">
        <v>560010</v>
      </c>
      <c r="M35" t="s">
        <v>19</v>
      </c>
      <c r="N35" t="s">
        <v>20</v>
      </c>
      <c r="O35" t="str">
        <f t="shared" si="1"/>
        <v>Loyal Customer</v>
      </c>
    </row>
    <row r="36" spans="1:15" x14ac:dyDescent="0.25">
      <c r="A36">
        <v>22</v>
      </c>
      <c r="B36" t="str">
        <f t="shared" si="0"/>
        <v>18-24</v>
      </c>
      <c r="C36" t="s">
        <v>13</v>
      </c>
      <c r="D36" t="s">
        <v>14</v>
      </c>
      <c r="E36" t="s">
        <v>15</v>
      </c>
      <c r="F36" t="s">
        <v>16</v>
      </c>
      <c r="G36" t="s">
        <v>17</v>
      </c>
      <c r="H36">
        <v>2</v>
      </c>
      <c r="I36" t="s">
        <v>23</v>
      </c>
      <c r="J36">
        <v>12.911899999999999</v>
      </c>
      <c r="K36">
        <v>77.644599999999997</v>
      </c>
      <c r="L36">
        <v>560102</v>
      </c>
      <c r="M36" t="s">
        <v>19</v>
      </c>
      <c r="N36" t="s">
        <v>20</v>
      </c>
      <c r="O36" t="str">
        <f t="shared" si="1"/>
        <v>Loyal Customer</v>
      </c>
    </row>
    <row r="37" spans="1:15" x14ac:dyDescent="0.25">
      <c r="A37">
        <v>25</v>
      </c>
      <c r="B37" t="str">
        <f t="shared" si="0"/>
        <v>25-29</v>
      </c>
      <c r="C37" t="s">
        <v>24</v>
      </c>
      <c r="D37" t="s">
        <v>14</v>
      </c>
      <c r="E37" t="s">
        <v>15</v>
      </c>
      <c r="F37" t="s">
        <v>30</v>
      </c>
      <c r="G37" t="s">
        <v>17</v>
      </c>
      <c r="H37">
        <v>3</v>
      </c>
      <c r="I37" t="s">
        <v>23</v>
      </c>
      <c r="J37">
        <v>12.9306</v>
      </c>
      <c r="K37">
        <v>77.543400000000005</v>
      </c>
      <c r="L37">
        <v>560085</v>
      </c>
      <c r="M37" t="s">
        <v>19</v>
      </c>
      <c r="N37" t="s">
        <v>20</v>
      </c>
      <c r="O37" t="str">
        <f t="shared" si="1"/>
        <v>Loyal Customer</v>
      </c>
    </row>
    <row r="38" spans="1:15" x14ac:dyDescent="0.25">
      <c r="A38">
        <v>25</v>
      </c>
      <c r="B38" t="str">
        <f t="shared" si="0"/>
        <v>25-29</v>
      </c>
      <c r="C38" t="s">
        <v>24</v>
      </c>
      <c r="D38" t="s">
        <v>14</v>
      </c>
      <c r="E38" t="s">
        <v>15</v>
      </c>
      <c r="F38" t="s">
        <v>16</v>
      </c>
      <c r="G38" t="s">
        <v>17</v>
      </c>
      <c r="H38">
        <v>5</v>
      </c>
      <c r="I38" t="s">
        <v>18</v>
      </c>
      <c r="J38">
        <v>12.977</v>
      </c>
      <c r="K38">
        <v>77.577299999999994</v>
      </c>
      <c r="L38">
        <v>560009</v>
      </c>
      <c r="M38" t="s">
        <v>34</v>
      </c>
      <c r="N38" t="s">
        <v>20</v>
      </c>
      <c r="O38" t="str">
        <f t="shared" si="1"/>
        <v>Lost Potential</v>
      </c>
    </row>
    <row r="39" spans="1:15" x14ac:dyDescent="0.25">
      <c r="A39">
        <v>32</v>
      </c>
      <c r="B39" t="str">
        <f t="shared" si="0"/>
        <v>30-33</v>
      </c>
      <c r="C39" t="s">
        <v>13</v>
      </c>
      <c r="D39" t="s">
        <v>35</v>
      </c>
      <c r="E39" t="s">
        <v>36</v>
      </c>
      <c r="F39" t="s">
        <v>16</v>
      </c>
      <c r="G39" t="s">
        <v>22</v>
      </c>
      <c r="H39">
        <v>5</v>
      </c>
      <c r="I39" t="s">
        <v>18</v>
      </c>
      <c r="J39">
        <v>12.981999999999999</v>
      </c>
      <c r="K39">
        <v>77.625600000000006</v>
      </c>
      <c r="L39">
        <v>560008</v>
      </c>
      <c r="M39" t="s">
        <v>19</v>
      </c>
      <c r="N39" t="s">
        <v>25</v>
      </c>
      <c r="O39" t="str">
        <f t="shared" si="1"/>
        <v>Churned &amp; Unhappy</v>
      </c>
    </row>
    <row r="40" spans="1:15" x14ac:dyDescent="0.25">
      <c r="A40">
        <v>23</v>
      </c>
      <c r="B40" t="str">
        <f t="shared" si="0"/>
        <v>18-24</v>
      </c>
      <c r="C40" t="s">
        <v>13</v>
      </c>
      <c r="D40" t="s">
        <v>14</v>
      </c>
      <c r="E40" t="s">
        <v>15</v>
      </c>
      <c r="F40" t="s">
        <v>16</v>
      </c>
      <c r="G40" t="s">
        <v>17</v>
      </c>
      <c r="H40">
        <v>3</v>
      </c>
      <c r="I40" t="s">
        <v>23</v>
      </c>
      <c r="J40">
        <v>12.9438</v>
      </c>
      <c r="K40">
        <v>77.573800000000006</v>
      </c>
      <c r="L40">
        <v>560004</v>
      </c>
      <c r="M40" t="s">
        <v>19</v>
      </c>
      <c r="N40" t="s">
        <v>20</v>
      </c>
      <c r="O40" t="str">
        <f t="shared" si="1"/>
        <v>Loyal Customer</v>
      </c>
    </row>
    <row r="41" spans="1:15" x14ac:dyDescent="0.25">
      <c r="A41">
        <v>23</v>
      </c>
      <c r="B41" t="str">
        <f t="shared" si="0"/>
        <v>18-24</v>
      </c>
      <c r="C41" t="s">
        <v>13</v>
      </c>
      <c r="D41" t="s">
        <v>14</v>
      </c>
      <c r="E41" t="s">
        <v>15</v>
      </c>
      <c r="F41" t="s">
        <v>16</v>
      </c>
      <c r="G41" t="s">
        <v>17</v>
      </c>
      <c r="H41">
        <v>4</v>
      </c>
      <c r="I41" t="s">
        <v>18</v>
      </c>
      <c r="J41">
        <v>12.8988</v>
      </c>
      <c r="K41">
        <v>77.576400000000007</v>
      </c>
      <c r="L41">
        <v>560078</v>
      </c>
      <c r="M41" t="s">
        <v>19</v>
      </c>
      <c r="N41" t="s">
        <v>20</v>
      </c>
      <c r="O41" t="str">
        <f t="shared" si="1"/>
        <v>Loyal Customer</v>
      </c>
    </row>
    <row r="42" spans="1:15" x14ac:dyDescent="0.25">
      <c r="A42">
        <v>30</v>
      </c>
      <c r="B42" t="str">
        <f t="shared" si="0"/>
        <v>30-33</v>
      </c>
      <c r="C42" t="s">
        <v>24</v>
      </c>
      <c r="D42" t="s">
        <v>26</v>
      </c>
      <c r="E42" t="s">
        <v>29</v>
      </c>
      <c r="F42" t="s">
        <v>28</v>
      </c>
      <c r="G42" t="s">
        <v>37</v>
      </c>
      <c r="H42">
        <v>4</v>
      </c>
      <c r="I42" t="s">
        <v>18</v>
      </c>
      <c r="J42">
        <v>12.966200000000001</v>
      </c>
      <c r="K42">
        <v>77.606800000000007</v>
      </c>
      <c r="L42">
        <v>560025</v>
      </c>
      <c r="M42" t="s">
        <v>19</v>
      </c>
      <c r="N42" t="s">
        <v>25</v>
      </c>
      <c r="O42" t="str">
        <f t="shared" si="1"/>
        <v>Churned &amp; Unhappy</v>
      </c>
    </row>
    <row r="43" spans="1:15" x14ac:dyDescent="0.25">
      <c r="A43">
        <v>23</v>
      </c>
      <c r="B43" t="str">
        <f t="shared" si="0"/>
        <v>18-24</v>
      </c>
      <c r="C43" t="s">
        <v>24</v>
      </c>
      <c r="D43" t="s">
        <v>14</v>
      </c>
      <c r="E43" t="s">
        <v>15</v>
      </c>
      <c r="F43" t="s">
        <v>16</v>
      </c>
      <c r="G43" t="s">
        <v>22</v>
      </c>
      <c r="H43">
        <v>3</v>
      </c>
      <c r="I43" t="s">
        <v>23</v>
      </c>
      <c r="J43">
        <v>12.9565</v>
      </c>
      <c r="K43">
        <v>77.548400000000001</v>
      </c>
      <c r="L43">
        <v>560026</v>
      </c>
      <c r="M43" t="s">
        <v>19</v>
      </c>
      <c r="N43" t="s">
        <v>20</v>
      </c>
      <c r="O43" t="str">
        <f t="shared" si="1"/>
        <v>Loyal Customer</v>
      </c>
    </row>
    <row r="44" spans="1:15" x14ac:dyDescent="0.25">
      <c r="A44">
        <v>23</v>
      </c>
      <c r="B44" t="str">
        <f t="shared" si="0"/>
        <v>18-24</v>
      </c>
      <c r="C44" t="s">
        <v>24</v>
      </c>
      <c r="D44" t="s">
        <v>14</v>
      </c>
      <c r="E44" t="s">
        <v>15</v>
      </c>
      <c r="F44" t="s">
        <v>16</v>
      </c>
      <c r="G44" t="s">
        <v>17</v>
      </c>
      <c r="H44">
        <v>4</v>
      </c>
      <c r="I44" t="s">
        <v>18</v>
      </c>
      <c r="J44">
        <v>12.9925</v>
      </c>
      <c r="K44">
        <v>77.563299999999998</v>
      </c>
      <c r="L44">
        <v>560021</v>
      </c>
      <c r="M44" t="s">
        <v>19</v>
      </c>
      <c r="N44" t="s">
        <v>20</v>
      </c>
      <c r="O44" t="str">
        <f t="shared" si="1"/>
        <v>Loyal Customer</v>
      </c>
    </row>
    <row r="45" spans="1:15" x14ac:dyDescent="0.25">
      <c r="A45">
        <v>22</v>
      </c>
      <c r="B45" t="str">
        <f t="shared" si="0"/>
        <v>18-24</v>
      </c>
      <c r="C45" t="s">
        <v>13</v>
      </c>
      <c r="D45" t="s">
        <v>14</v>
      </c>
      <c r="E45" t="s">
        <v>15</v>
      </c>
      <c r="F45" t="s">
        <v>16</v>
      </c>
      <c r="G45" t="s">
        <v>17</v>
      </c>
      <c r="H45">
        <v>5</v>
      </c>
      <c r="I45" t="s">
        <v>18</v>
      </c>
      <c r="J45">
        <v>12.984999999999999</v>
      </c>
      <c r="K45">
        <v>77.553299999999993</v>
      </c>
      <c r="L45">
        <v>560010</v>
      </c>
      <c r="M45" t="s">
        <v>19</v>
      </c>
      <c r="N45" t="s">
        <v>20</v>
      </c>
      <c r="O45" t="str">
        <f t="shared" si="1"/>
        <v>Loyal Customer</v>
      </c>
    </row>
    <row r="46" spans="1:15" x14ac:dyDescent="0.25">
      <c r="A46">
        <v>22</v>
      </c>
      <c r="B46" t="str">
        <f t="shared" si="0"/>
        <v>18-24</v>
      </c>
      <c r="C46" t="s">
        <v>24</v>
      </c>
      <c r="D46" t="s">
        <v>14</v>
      </c>
      <c r="E46" t="s">
        <v>15</v>
      </c>
      <c r="F46" t="s">
        <v>16</v>
      </c>
      <c r="G46" t="s">
        <v>22</v>
      </c>
      <c r="H46">
        <v>5</v>
      </c>
      <c r="I46" t="s">
        <v>18</v>
      </c>
      <c r="J46">
        <v>12.984999999999999</v>
      </c>
      <c r="K46">
        <v>77.553299999999993</v>
      </c>
      <c r="L46">
        <v>560010</v>
      </c>
      <c r="M46" t="s">
        <v>19</v>
      </c>
      <c r="N46" t="s">
        <v>20</v>
      </c>
      <c r="O46" t="str">
        <f t="shared" si="1"/>
        <v>Loyal Customer</v>
      </c>
    </row>
    <row r="47" spans="1:15" x14ac:dyDescent="0.25">
      <c r="A47">
        <v>27</v>
      </c>
      <c r="B47" t="str">
        <f t="shared" si="0"/>
        <v>25-29</v>
      </c>
      <c r="C47" t="s">
        <v>13</v>
      </c>
      <c r="D47" t="s">
        <v>26</v>
      </c>
      <c r="E47" t="s">
        <v>29</v>
      </c>
      <c r="F47" t="s">
        <v>30</v>
      </c>
      <c r="G47" t="s">
        <v>17</v>
      </c>
      <c r="H47">
        <v>2</v>
      </c>
      <c r="I47" t="s">
        <v>23</v>
      </c>
      <c r="J47">
        <v>12.9261</v>
      </c>
      <c r="K47">
        <v>77.622100000000003</v>
      </c>
      <c r="L47">
        <v>560034</v>
      </c>
      <c r="M47" t="s">
        <v>19</v>
      </c>
      <c r="N47" t="s">
        <v>20</v>
      </c>
      <c r="O47" t="str">
        <f t="shared" si="1"/>
        <v>Loyal Customer</v>
      </c>
    </row>
    <row r="48" spans="1:15" x14ac:dyDescent="0.25">
      <c r="A48">
        <v>24</v>
      </c>
      <c r="B48" t="str">
        <f t="shared" si="0"/>
        <v>18-24</v>
      </c>
      <c r="C48" t="s">
        <v>13</v>
      </c>
      <c r="D48" t="s">
        <v>14</v>
      </c>
      <c r="E48" t="s">
        <v>15</v>
      </c>
      <c r="F48" t="s">
        <v>16</v>
      </c>
      <c r="G48" t="s">
        <v>17</v>
      </c>
      <c r="H48">
        <v>3</v>
      </c>
      <c r="I48" t="s">
        <v>23</v>
      </c>
      <c r="J48">
        <v>12.977</v>
      </c>
      <c r="K48">
        <v>77.577299999999994</v>
      </c>
      <c r="L48">
        <v>560009</v>
      </c>
      <c r="M48" t="s">
        <v>19</v>
      </c>
      <c r="N48" t="s">
        <v>20</v>
      </c>
      <c r="O48" t="str">
        <f t="shared" si="1"/>
        <v>Loyal Customer</v>
      </c>
    </row>
    <row r="49" spans="1:15" x14ac:dyDescent="0.25">
      <c r="A49">
        <v>23</v>
      </c>
      <c r="B49" t="str">
        <f t="shared" si="0"/>
        <v>18-24</v>
      </c>
      <c r="C49" t="s">
        <v>24</v>
      </c>
      <c r="D49" t="s">
        <v>14</v>
      </c>
      <c r="E49" t="s">
        <v>15</v>
      </c>
      <c r="F49" t="s">
        <v>16</v>
      </c>
      <c r="G49" t="s">
        <v>17</v>
      </c>
      <c r="H49">
        <v>2</v>
      </c>
      <c r="I49" t="s">
        <v>23</v>
      </c>
      <c r="J49">
        <v>12.977</v>
      </c>
      <c r="K49">
        <v>77.577299999999994</v>
      </c>
      <c r="L49">
        <v>560009</v>
      </c>
      <c r="M49" t="s">
        <v>19</v>
      </c>
      <c r="N49" t="s">
        <v>20</v>
      </c>
      <c r="O49" t="str">
        <f t="shared" si="1"/>
        <v>Loyal Customer</v>
      </c>
    </row>
    <row r="50" spans="1:15" x14ac:dyDescent="0.25">
      <c r="A50">
        <v>23</v>
      </c>
      <c r="B50" t="str">
        <f t="shared" si="0"/>
        <v>18-24</v>
      </c>
      <c r="C50" t="s">
        <v>13</v>
      </c>
      <c r="D50" t="s">
        <v>14</v>
      </c>
      <c r="E50" t="s">
        <v>15</v>
      </c>
      <c r="F50" t="s">
        <v>16</v>
      </c>
      <c r="G50" t="s">
        <v>22</v>
      </c>
      <c r="H50">
        <v>3</v>
      </c>
      <c r="I50" t="s">
        <v>23</v>
      </c>
      <c r="J50">
        <v>12.981999999999999</v>
      </c>
      <c r="K50">
        <v>77.625600000000006</v>
      </c>
      <c r="L50">
        <v>560008</v>
      </c>
      <c r="M50" t="s">
        <v>19</v>
      </c>
      <c r="N50" t="s">
        <v>25</v>
      </c>
      <c r="O50" t="str">
        <f t="shared" si="1"/>
        <v>Churned &amp; Unhappy</v>
      </c>
    </row>
    <row r="51" spans="1:15" x14ac:dyDescent="0.25">
      <c r="A51">
        <v>22</v>
      </c>
      <c r="B51" t="str">
        <f t="shared" si="0"/>
        <v>18-24</v>
      </c>
      <c r="C51" t="s">
        <v>13</v>
      </c>
      <c r="D51" t="s">
        <v>14</v>
      </c>
      <c r="E51" t="s">
        <v>15</v>
      </c>
      <c r="F51" t="s">
        <v>30</v>
      </c>
      <c r="G51" t="s">
        <v>17</v>
      </c>
      <c r="H51">
        <v>5</v>
      </c>
      <c r="I51" t="s">
        <v>18</v>
      </c>
      <c r="J51">
        <v>12.984999999999999</v>
      </c>
      <c r="K51">
        <v>77.553299999999993</v>
      </c>
      <c r="L51">
        <v>560010</v>
      </c>
      <c r="M51" t="s">
        <v>19</v>
      </c>
      <c r="N51" t="s">
        <v>20</v>
      </c>
      <c r="O51" t="str">
        <f t="shared" si="1"/>
        <v>Loyal Customer</v>
      </c>
    </row>
    <row r="52" spans="1:15" x14ac:dyDescent="0.25">
      <c r="A52">
        <v>23</v>
      </c>
      <c r="B52" t="str">
        <f t="shared" si="0"/>
        <v>18-24</v>
      </c>
      <c r="C52" t="s">
        <v>13</v>
      </c>
      <c r="D52" t="s">
        <v>14</v>
      </c>
      <c r="E52" t="s">
        <v>15</v>
      </c>
      <c r="F52" t="s">
        <v>16</v>
      </c>
      <c r="G52" t="s">
        <v>22</v>
      </c>
      <c r="H52">
        <v>5</v>
      </c>
      <c r="I52" t="s">
        <v>18</v>
      </c>
      <c r="J52">
        <v>13.0206</v>
      </c>
      <c r="K52">
        <v>77.647900000000007</v>
      </c>
      <c r="L52">
        <v>560043</v>
      </c>
      <c r="M52" t="s">
        <v>19</v>
      </c>
      <c r="N52" t="s">
        <v>20</v>
      </c>
      <c r="O52" t="str">
        <f t="shared" si="1"/>
        <v>Loyal Customer</v>
      </c>
    </row>
    <row r="53" spans="1:15" x14ac:dyDescent="0.25">
      <c r="A53">
        <v>23</v>
      </c>
      <c r="B53" t="str">
        <f t="shared" si="0"/>
        <v>18-24</v>
      </c>
      <c r="C53" t="s">
        <v>13</v>
      </c>
      <c r="D53" t="s">
        <v>14</v>
      </c>
      <c r="E53" t="s">
        <v>15</v>
      </c>
      <c r="F53" t="s">
        <v>16</v>
      </c>
      <c r="G53" t="s">
        <v>17</v>
      </c>
      <c r="H53">
        <v>2</v>
      </c>
      <c r="I53" t="s">
        <v>23</v>
      </c>
      <c r="J53">
        <v>12.977</v>
      </c>
      <c r="K53">
        <v>77.577299999999994</v>
      </c>
      <c r="L53">
        <v>560009</v>
      </c>
      <c r="M53" t="s">
        <v>19</v>
      </c>
      <c r="N53" t="s">
        <v>20</v>
      </c>
      <c r="O53" t="str">
        <f t="shared" si="1"/>
        <v>Loyal Customer</v>
      </c>
    </row>
    <row r="54" spans="1:15" x14ac:dyDescent="0.25">
      <c r="A54">
        <v>24</v>
      </c>
      <c r="B54" t="str">
        <f t="shared" si="0"/>
        <v>18-24</v>
      </c>
      <c r="C54" t="s">
        <v>24</v>
      </c>
      <c r="D54" t="s">
        <v>14</v>
      </c>
      <c r="E54" t="s">
        <v>15</v>
      </c>
      <c r="F54" t="s">
        <v>16</v>
      </c>
      <c r="G54" t="s">
        <v>17</v>
      </c>
      <c r="H54">
        <v>3</v>
      </c>
      <c r="I54" t="s">
        <v>23</v>
      </c>
      <c r="J54">
        <v>12.977</v>
      </c>
      <c r="K54">
        <v>77.577299999999994</v>
      </c>
      <c r="L54">
        <v>560009</v>
      </c>
      <c r="M54" t="s">
        <v>19</v>
      </c>
      <c r="N54" t="s">
        <v>20</v>
      </c>
      <c r="O54" t="str">
        <f t="shared" si="1"/>
        <v>Loyal Customer</v>
      </c>
    </row>
    <row r="55" spans="1:15" x14ac:dyDescent="0.25">
      <c r="A55">
        <v>25</v>
      </c>
      <c r="B55" t="str">
        <f t="shared" si="0"/>
        <v>25-29</v>
      </c>
      <c r="C55" t="s">
        <v>24</v>
      </c>
      <c r="D55" t="s">
        <v>14</v>
      </c>
      <c r="E55" t="s">
        <v>15</v>
      </c>
      <c r="F55" t="s">
        <v>16</v>
      </c>
      <c r="G55" t="s">
        <v>17</v>
      </c>
      <c r="H55">
        <v>2</v>
      </c>
      <c r="I55" t="s">
        <v>23</v>
      </c>
      <c r="J55">
        <v>12.9635</v>
      </c>
      <c r="K55">
        <v>77.582099999999997</v>
      </c>
      <c r="L55">
        <v>560002</v>
      </c>
      <c r="M55" t="s">
        <v>19</v>
      </c>
      <c r="N55" t="s">
        <v>20</v>
      </c>
      <c r="O55" t="str">
        <f t="shared" si="1"/>
        <v>Loyal Customer</v>
      </c>
    </row>
    <row r="56" spans="1:15" x14ac:dyDescent="0.25">
      <c r="A56">
        <v>22</v>
      </c>
      <c r="B56" t="str">
        <f t="shared" si="0"/>
        <v>18-24</v>
      </c>
      <c r="C56" t="s">
        <v>24</v>
      </c>
      <c r="D56" t="s">
        <v>14</v>
      </c>
      <c r="E56" t="s">
        <v>15</v>
      </c>
      <c r="F56" t="s">
        <v>16</v>
      </c>
      <c r="G56" t="s">
        <v>17</v>
      </c>
      <c r="H56">
        <v>3</v>
      </c>
      <c r="I56" t="s">
        <v>23</v>
      </c>
      <c r="J56">
        <v>12.9306</v>
      </c>
      <c r="K56">
        <v>77.543400000000005</v>
      </c>
      <c r="L56">
        <v>560085</v>
      </c>
      <c r="M56" t="s">
        <v>19</v>
      </c>
      <c r="N56" t="s">
        <v>20</v>
      </c>
      <c r="O56" t="str">
        <f t="shared" si="1"/>
        <v>Loyal Customer</v>
      </c>
    </row>
    <row r="57" spans="1:15" x14ac:dyDescent="0.25">
      <c r="A57">
        <v>28</v>
      </c>
      <c r="B57" t="str">
        <f t="shared" si="0"/>
        <v>25-29</v>
      </c>
      <c r="C57" t="s">
        <v>13</v>
      </c>
      <c r="D57" t="s">
        <v>26</v>
      </c>
      <c r="E57" t="s">
        <v>15</v>
      </c>
      <c r="F57" t="s">
        <v>16</v>
      </c>
      <c r="G57" t="s">
        <v>22</v>
      </c>
      <c r="H57">
        <v>2</v>
      </c>
      <c r="I57" t="s">
        <v>23</v>
      </c>
      <c r="J57">
        <v>13.0067</v>
      </c>
      <c r="K57">
        <v>77.545000000000002</v>
      </c>
      <c r="L57">
        <v>560086</v>
      </c>
      <c r="M57" t="s">
        <v>19</v>
      </c>
      <c r="N57" t="s">
        <v>20</v>
      </c>
      <c r="O57" t="str">
        <f t="shared" si="1"/>
        <v>Loyal Customer</v>
      </c>
    </row>
    <row r="58" spans="1:15" x14ac:dyDescent="0.25">
      <c r="A58">
        <v>22</v>
      </c>
      <c r="B58" t="str">
        <f t="shared" si="0"/>
        <v>18-24</v>
      </c>
      <c r="C58" t="s">
        <v>13</v>
      </c>
      <c r="D58" t="s">
        <v>14</v>
      </c>
      <c r="E58" t="s">
        <v>15</v>
      </c>
      <c r="F58" t="s">
        <v>16</v>
      </c>
      <c r="G58" t="s">
        <v>17</v>
      </c>
      <c r="H58">
        <v>1</v>
      </c>
      <c r="I58" t="s">
        <v>32</v>
      </c>
      <c r="J58">
        <v>12.884499999999999</v>
      </c>
      <c r="K58">
        <v>77.6036</v>
      </c>
      <c r="L58">
        <v>560076</v>
      </c>
      <c r="M58" t="s">
        <v>19</v>
      </c>
      <c r="N58" t="s">
        <v>20</v>
      </c>
      <c r="O58" t="str">
        <f t="shared" si="1"/>
        <v>Loyal Customer</v>
      </c>
    </row>
    <row r="59" spans="1:15" x14ac:dyDescent="0.25">
      <c r="A59">
        <v>24</v>
      </c>
      <c r="B59" t="str">
        <f t="shared" si="0"/>
        <v>18-24</v>
      </c>
      <c r="C59" t="s">
        <v>13</v>
      </c>
      <c r="D59" t="s">
        <v>14</v>
      </c>
      <c r="E59" t="s">
        <v>15</v>
      </c>
      <c r="F59" t="s">
        <v>16</v>
      </c>
      <c r="G59" t="s">
        <v>22</v>
      </c>
      <c r="H59">
        <v>3</v>
      </c>
      <c r="I59" t="s">
        <v>23</v>
      </c>
      <c r="J59">
        <v>12.977</v>
      </c>
      <c r="K59">
        <v>77.577299999999994</v>
      </c>
      <c r="L59">
        <v>560009</v>
      </c>
      <c r="M59" t="s">
        <v>19</v>
      </c>
      <c r="N59" t="s">
        <v>20</v>
      </c>
      <c r="O59" t="str">
        <f t="shared" si="1"/>
        <v>Loyal Customer</v>
      </c>
    </row>
    <row r="60" spans="1:15" x14ac:dyDescent="0.25">
      <c r="A60">
        <v>31</v>
      </c>
      <c r="B60" t="str">
        <f t="shared" si="0"/>
        <v>30-33</v>
      </c>
      <c r="C60" t="s">
        <v>24</v>
      </c>
      <c r="D60" t="s">
        <v>26</v>
      </c>
      <c r="E60" t="s">
        <v>27</v>
      </c>
      <c r="F60" t="s">
        <v>28</v>
      </c>
      <c r="G60" t="s">
        <v>33</v>
      </c>
      <c r="H60">
        <v>5</v>
      </c>
      <c r="I60" t="s">
        <v>18</v>
      </c>
      <c r="J60">
        <v>12.911899999999999</v>
      </c>
      <c r="K60">
        <v>77.644599999999997</v>
      </c>
      <c r="L60">
        <v>560102</v>
      </c>
      <c r="M60" t="s">
        <v>19</v>
      </c>
      <c r="N60" t="s">
        <v>20</v>
      </c>
      <c r="O60" t="str">
        <f t="shared" si="1"/>
        <v>Loyal Customer</v>
      </c>
    </row>
    <row r="61" spans="1:15" x14ac:dyDescent="0.25">
      <c r="A61">
        <v>25</v>
      </c>
      <c r="B61" t="str">
        <f t="shared" si="0"/>
        <v>25-29</v>
      </c>
      <c r="C61" t="s">
        <v>24</v>
      </c>
      <c r="D61" t="s">
        <v>14</v>
      </c>
      <c r="E61" t="s">
        <v>15</v>
      </c>
      <c r="F61" t="s">
        <v>16</v>
      </c>
      <c r="G61" t="s">
        <v>17</v>
      </c>
      <c r="H61">
        <v>4</v>
      </c>
      <c r="I61" t="s">
        <v>18</v>
      </c>
      <c r="J61">
        <v>13.0067</v>
      </c>
      <c r="K61">
        <v>77.545000000000002</v>
      </c>
      <c r="L61">
        <v>560086</v>
      </c>
      <c r="M61" t="s">
        <v>19</v>
      </c>
      <c r="N61" t="s">
        <v>20</v>
      </c>
      <c r="O61" t="str">
        <f t="shared" si="1"/>
        <v>Loyal Customer</v>
      </c>
    </row>
    <row r="62" spans="1:15" x14ac:dyDescent="0.25">
      <c r="A62">
        <v>23</v>
      </c>
      <c r="B62" t="str">
        <f t="shared" si="0"/>
        <v>18-24</v>
      </c>
      <c r="C62" t="s">
        <v>24</v>
      </c>
      <c r="D62" t="s">
        <v>14</v>
      </c>
      <c r="E62" t="s">
        <v>15</v>
      </c>
      <c r="F62" t="s">
        <v>16</v>
      </c>
      <c r="G62" t="s">
        <v>17</v>
      </c>
      <c r="H62">
        <v>5</v>
      </c>
      <c r="I62" t="s">
        <v>18</v>
      </c>
      <c r="J62">
        <v>12.8988</v>
      </c>
      <c r="K62">
        <v>77.576400000000007</v>
      </c>
      <c r="L62">
        <v>560078</v>
      </c>
      <c r="M62" t="s">
        <v>19</v>
      </c>
      <c r="N62" t="s">
        <v>20</v>
      </c>
      <c r="O62" t="str">
        <f t="shared" si="1"/>
        <v>Loyal Customer</v>
      </c>
    </row>
    <row r="63" spans="1:15" x14ac:dyDescent="0.25">
      <c r="A63">
        <v>22</v>
      </c>
      <c r="B63" t="str">
        <f t="shared" si="0"/>
        <v>18-24</v>
      </c>
      <c r="C63" t="s">
        <v>24</v>
      </c>
      <c r="D63" t="s">
        <v>14</v>
      </c>
      <c r="E63" t="s">
        <v>15</v>
      </c>
      <c r="F63" t="s">
        <v>16</v>
      </c>
      <c r="G63" t="s">
        <v>17</v>
      </c>
      <c r="H63">
        <v>3</v>
      </c>
      <c r="I63" t="s">
        <v>23</v>
      </c>
      <c r="J63">
        <v>12.884499999999999</v>
      </c>
      <c r="K63">
        <v>77.6036</v>
      </c>
      <c r="L63">
        <v>560076</v>
      </c>
      <c r="M63" t="s">
        <v>19</v>
      </c>
      <c r="N63" t="s">
        <v>20</v>
      </c>
      <c r="O63" t="str">
        <f t="shared" si="1"/>
        <v>Loyal Customer</v>
      </c>
    </row>
    <row r="64" spans="1:15" x14ac:dyDescent="0.25">
      <c r="A64">
        <v>23</v>
      </c>
      <c r="B64" t="str">
        <f t="shared" si="0"/>
        <v>18-24</v>
      </c>
      <c r="C64" t="s">
        <v>24</v>
      </c>
      <c r="D64" t="s">
        <v>14</v>
      </c>
      <c r="E64" t="s">
        <v>15</v>
      </c>
      <c r="F64" t="s">
        <v>31</v>
      </c>
      <c r="G64" t="s">
        <v>17</v>
      </c>
      <c r="H64">
        <v>1</v>
      </c>
      <c r="I64" t="s">
        <v>32</v>
      </c>
      <c r="J64">
        <v>13.0158</v>
      </c>
      <c r="K64">
        <v>77.539000000000001</v>
      </c>
      <c r="L64">
        <v>560096</v>
      </c>
      <c r="M64" t="s">
        <v>19</v>
      </c>
      <c r="N64" t="s">
        <v>20</v>
      </c>
      <c r="O64" t="str">
        <f t="shared" si="1"/>
        <v>Loyal Customer</v>
      </c>
    </row>
    <row r="65" spans="1:15" x14ac:dyDescent="0.25">
      <c r="A65">
        <v>23</v>
      </c>
      <c r="B65" t="str">
        <f t="shared" si="0"/>
        <v>18-24</v>
      </c>
      <c r="C65" t="s">
        <v>24</v>
      </c>
      <c r="D65" t="s">
        <v>14</v>
      </c>
      <c r="E65" t="s">
        <v>15</v>
      </c>
      <c r="F65" t="s">
        <v>16</v>
      </c>
      <c r="G65" t="s">
        <v>22</v>
      </c>
      <c r="H65">
        <v>4</v>
      </c>
      <c r="I65" t="s">
        <v>18</v>
      </c>
      <c r="J65">
        <v>12.9343</v>
      </c>
      <c r="K65">
        <v>77.604399999999998</v>
      </c>
      <c r="L65">
        <v>560029</v>
      </c>
      <c r="M65" t="s">
        <v>19</v>
      </c>
      <c r="N65" t="s">
        <v>20</v>
      </c>
      <c r="O65" t="str">
        <f t="shared" si="1"/>
        <v>Loyal Customer</v>
      </c>
    </row>
    <row r="66" spans="1:15" x14ac:dyDescent="0.25">
      <c r="A66">
        <v>23</v>
      </c>
      <c r="B66" t="str">
        <f t="shared" si="0"/>
        <v>18-24</v>
      </c>
      <c r="C66" t="s">
        <v>13</v>
      </c>
      <c r="D66" t="s">
        <v>14</v>
      </c>
      <c r="E66" t="s">
        <v>15</v>
      </c>
      <c r="F66" t="s">
        <v>16</v>
      </c>
      <c r="G66" t="s">
        <v>17</v>
      </c>
      <c r="H66">
        <v>2</v>
      </c>
      <c r="I66" t="s">
        <v>23</v>
      </c>
      <c r="J66">
        <v>13.001899999999999</v>
      </c>
      <c r="K66">
        <v>77.571299999999994</v>
      </c>
      <c r="L66">
        <v>560003</v>
      </c>
      <c r="M66" t="s">
        <v>19</v>
      </c>
      <c r="N66" t="s">
        <v>20</v>
      </c>
      <c r="O66" t="str">
        <f t="shared" si="1"/>
        <v>Loyal Customer</v>
      </c>
    </row>
    <row r="67" spans="1:15" x14ac:dyDescent="0.25">
      <c r="A67">
        <v>25</v>
      </c>
      <c r="B67" t="str">
        <f t="shared" ref="B67:B130" si="2">IF(A67&lt;18, "Under 18", IF(A67&lt;=24, "18-24", IF(A67&lt;=29, "25-29", IF(A67&lt;=33, "30-33", "34+"))))</f>
        <v>25-29</v>
      </c>
      <c r="C67" t="s">
        <v>24</v>
      </c>
      <c r="D67" t="s">
        <v>14</v>
      </c>
      <c r="E67" t="s">
        <v>15</v>
      </c>
      <c r="F67" t="s">
        <v>16</v>
      </c>
      <c r="G67" t="s">
        <v>17</v>
      </c>
      <c r="H67">
        <v>6</v>
      </c>
      <c r="I67" t="s">
        <v>18</v>
      </c>
      <c r="J67">
        <v>13.001200000000001</v>
      </c>
      <c r="K67">
        <v>77.599500000000006</v>
      </c>
      <c r="L67">
        <v>560046</v>
      </c>
      <c r="M67" t="s">
        <v>19</v>
      </c>
      <c r="N67" t="s">
        <v>20</v>
      </c>
      <c r="O67" t="str">
        <f t="shared" ref="O67:O130" si="3">IF(AND(M67="Yes",N67="Positive"),"Loyal Customer",
 IF(AND(M67="Yes",N67="Negative"),"At Risk",
 IF(AND(M67="No",N67="Positive"),"Lost Potential","Churned &amp; Unhappy")))</f>
        <v>Loyal Customer</v>
      </c>
    </row>
    <row r="68" spans="1:15" x14ac:dyDescent="0.25">
      <c r="A68">
        <v>24</v>
      </c>
      <c r="B68" t="str">
        <f t="shared" si="2"/>
        <v>18-24</v>
      </c>
      <c r="C68" t="s">
        <v>24</v>
      </c>
      <c r="D68" t="s">
        <v>14</v>
      </c>
      <c r="E68" t="s">
        <v>27</v>
      </c>
      <c r="F68" t="s">
        <v>30</v>
      </c>
      <c r="G68" t="s">
        <v>22</v>
      </c>
      <c r="H68">
        <v>4</v>
      </c>
      <c r="I68" t="s">
        <v>18</v>
      </c>
      <c r="J68">
        <v>12.9442</v>
      </c>
      <c r="K68">
        <v>77.607600000000005</v>
      </c>
      <c r="L68">
        <v>560030</v>
      </c>
      <c r="M68" t="s">
        <v>19</v>
      </c>
      <c r="N68" t="s">
        <v>20</v>
      </c>
      <c r="O68" t="str">
        <f t="shared" si="3"/>
        <v>Loyal Customer</v>
      </c>
    </row>
    <row r="69" spans="1:15" x14ac:dyDescent="0.25">
      <c r="A69">
        <v>23</v>
      </c>
      <c r="B69" t="str">
        <f t="shared" si="2"/>
        <v>18-24</v>
      </c>
      <c r="C69" t="s">
        <v>13</v>
      </c>
      <c r="D69" t="s">
        <v>14</v>
      </c>
      <c r="E69" t="s">
        <v>15</v>
      </c>
      <c r="F69" t="s">
        <v>16</v>
      </c>
      <c r="G69" t="s">
        <v>17</v>
      </c>
      <c r="H69">
        <v>4</v>
      </c>
      <c r="I69" t="s">
        <v>18</v>
      </c>
      <c r="J69">
        <v>13.0487</v>
      </c>
      <c r="K69">
        <v>77.592299999999994</v>
      </c>
      <c r="L69">
        <v>560024</v>
      </c>
      <c r="M69" t="s">
        <v>19</v>
      </c>
      <c r="N69" t="s">
        <v>20</v>
      </c>
      <c r="O69" t="str">
        <f t="shared" si="3"/>
        <v>Loyal Customer</v>
      </c>
    </row>
    <row r="70" spans="1:15" x14ac:dyDescent="0.25">
      <c r="A70">
        <v>23</v>
      </c>
      <c r="B70" t="str">
        <f t="shared" si="2"/>
        <v>18-24</v>
      </c>
      <c r="C70" t="s">
        <v>13</v>
      </c>
      <c r="D70" t="s">
        <v>14</v>
      </c>
      <c r="E70" t="s">
        <v>15</v>
      </c>
      <c r="F70" t="s">
        <v>16</v>
      </c>
      <c r="G70" t="s">
        <v>17</v>
      </c>
      <c r="H70">
        <v>4</v>
      </c>
      <c r="I70" t="s">
        <v>18</v>
      </c>
      <c r="J70">
        <v>13.0487</v>
      </c>
      <c r="K70">
        <v>77.592299999999994</v>
      </c>
      <c r="L70">
        <v>560024</v>
      </c>
      <c r="M70" t="s">
        <v>19</v>
      </c>
      <c r="N70" t="s">
        <v>20</v>
      </c>
      <c r="O70" t="str">
        <f t="shared" si="3"/>
        <v>Loyal Customer</v>
      </c>
    </row>
    <row r="71" spans="1:15" x14ac:dyDescent="0.25">
      <c r="A71">
        <v>24</v>
      </c>
      <c r="B71" t="str">
        <f t="shared" si="2"/>
        <v>18-24</v>
      </c>
      <c r="C71" t="s">
        <v>13</v>
      </c>
      <c r="D71" t="s">
        <v>26</v>
      </c>
      <c r="E71" t="s">
        <v>27</v>
      </c>
      <c r="F71" t="s">
        <v>28</v>
      </c>
      <c r="G71" t="s">
        <v>33</v>
      </c>
      <c r="H71">
        <v>4</v>
      </c>
      <c r="I71" t="s">
        <v>18</v>
      </c>
      <c r="J71">
        <v>12.9438</v>
      </c>
      <c r="K71">
        <v>77.573800000000006</v>
      </c>
      <c r="L71">
        <v>560004</v>
      </c>
      <c r="M71" t="s">
        <v>19</v>
      </c>
      <c r="N71" t="s">
        <v>20</v>
      </c>
      <c r="O71" t="str">
        <f t="shared" si="3"/>
        <v>Loyal Customer</v>
      </c>
    </row>
    <row r="72" spans="1:15" x14ac:dyDescent="0.25">
      <c r="A72">
        <v>22</v>
      </c>
      <c r="B72" t="str">
        <f t="shared" si="2"/>
        <v>18-24</v>
      </c>
      <c r="C72" t="s">
        <v>24</v>
      </c>
      <c r="D72" t="s">
        <v>14</v>
      </c>
      <c r="E72" t="s">
        <v>15</v>
      </c>
      <c r="F72" t="s">
        <v>16</v>
      </c>
      <c r="G72" t="s">
        <v>22</v>
      </c>
      <c r="H72">
        <v>4</v>
      </c>
      <c r="I72" t="s">
        <v>18</v>
      </c>
      <c r="J72">
        <v>12.988899999999999</v>
      </c>
      <c r="K72">
        <v>77.574100000000001</v>
      </c>
      <c r="L72">
        <v>560020</v>
      </c>
      <c r="M72" t="s">
        <v>19</v>
      </c>
      <c r="N72" t="s">
        <v>20</v>
      </c>
      <c r="O72" t="str">
        <f t="shared" si="3"/>
        <v>Loyal Customer</v>
      </c>
    </row>
    <row r="73" spans="1:15" x14ac:dyDescent="0.25">
      <c r="A73">
        <v>24</v>
      </c>
      <c r="B73" t="str">
        <f t="shared" si="2"/>
        <v>18-24</v>
      </c>
      <c r="C73" t="s">
        <v>13</v>
      </c>
      <c r="D73" t="s">
        <v>14</v>
      </c>
      <c r="E73" t="s">
        <v>15</v>
      </c>
      <c r="F73" t="s">
        <v>30</v>
      </c>
      <c r="G73" t="s">
        <v>17</v>
      </c>
      <c r="H73">
        <v>3</v>
      </c>
      <c r="I73" t="s">
        <v>23</v>
      </c>
      <c r="J73">
        <v>12.9335</v>
      </c>
      <c r="K73">
        <v>77.569100000000006</v>
      </c>
      <c r="L73">
        <v>560028</v>
      </c>
      <c r="M73" t="s">
        <v>34</v>
      </c>
      <c r="N73" t="s">
        <v>20</v>
      </c>
      <c r="O73" t="str">
        <f t="shared" si="3"/>
        <v>Lost Potential</v>
      </c>
    </row>
    <row r="74" spans="1:15" x14ac:dyDescent="0.25">
      <c r="A74">
        <v>25</v>
      </c>
      <c r="B74" t="str">
        <f t="shared" si="2"/>
        <v>25-29</v>
      </c>
      <c r="C74" t="s">
        <v>13</v>
      </c>
      <c r="D74" t="s">
        <v>14</v>
      </c>
      <c r="E74" t="s">
        <v>15</v>
      </c>
      <c r="F74" t="s">
        <v>16</v>
      </c>
      <c r="G74" t="s">
        <v>17</v>
      </c>
      <c r="H74">
        <v>3</v>
      </c>
      <c r="I74" t="s">
        <v>23</v>
      </c>
      <c r="J74">
        <v>12.976599999999999</v>
      </c>
      <c r="K74">
        <v>77.599299999999999</v>
      </c>
      <c r="L74">
        <v>560001</v>
      </c>
      <c r="M74" t="s">
        <v>19</v>
      </c>
      <c r="N74" t="s">
        <v>20</v>
      </c>
      <c r="O74" t="str">
        <f t="shared" si="3"/>
        <v>Loyal Customer</v>
      </c>
    </row>
    <row r="75" spans="1:15" x14ac:dyDescent="0.25">
      <c r="A75">
        <v>23</v>
      </c>
      <c r="B75" t="str">
        <f t="shared" si="2"/>
        <v>18-24</v>
      </c>
      <c r="C75" t="s">
        <v>24</v>
      </c>
      <c r="D75" t="s">
        <v>14</v>
      </c>
      <c r="E75" t="s">
        <v>15</v>
      </c>
      <c r="F75" t="s">
        <v>16</v>
      </c>
      <c r="G75" t="s">
        <v>17</v>
      </c>
      <c r="H75">
        <v>2</v>
      </c>
      <c r="I75" t="s">
        <v>23</v>
      </c>
      <c r="J75">
        <v>12.884499999999999</v>
      </c>
      <c r="K75">
        <v>77.6036</v>
      </c>
      <c r="L75">
        <v>560076</v>
      </c>
      <c r="M75" t="s">
        <v>19</v>
      </c>
      <c r="N75" t="s">
        <v>20</v>
      </c>
      <c r="O75" t="str">
        <f t="shared" si="3"/>
        <v>Loyal Customer</v>
      </c>
    </row>
    <row r="76" spans="1:15" x14ac:dyDescent="0.25">
      <c r="A76">
        <v>26</v>
      </c>
      <c r="B76" t="str">
        <f t="shared" si="2"/>
        <v>25-29</v>
      </c>
      <c r="C76" t="s">
        <v>24</v>
      </c>
      <c r="D76" t="s">
        <v>14</v>
      </c>
      <c r="E76" t="s">
        <v>15</v>
      </c>
      <c r="F76" t="s">
        <v>16</v>
      </c>
      <c r="G76" t="s">
        <v>17</v>
      </c>
      <c r="H76">
        <v>4</v>
      </c>
      <c r="I76" t="s">
        <v>18</v>
      </c>
      <c r="J76">
        <v>13.001899999999999</v>
      </c>
      <c r="K76">
        <v>77.571299999999994</v>
      </c>
      <c r="L76">
        <v>560003</v>
      </c>
      <c r="M76" t="s">
        <v>19</v>
      </c>
      <c r="N76" t="s">
        <v>20</v>
      </c>
      <c r="O76" t="str">
        <f t="shared" si="3"/>
        <v>Loyal Customer</v>
      </c>
    </row>
    <row r="77" spans="1:15" x14ac:dyDescent="0.25">
      <c r="A77">
        <v>24</v>
      </c>
      <c r="B77" t="str">
        <f t="shared" si="2"/>
        <v>18-24</v>
      </c>
      <c r="C77" t="s">
        <v>13</v>
      </c>
      <c r="D77" t="s">
        <v>14</v>
      </c>
      <c r="E77" t="s">
        <v>15</v>
      </c>
      <c r="F77" t="s">
        <v>31</v>
      </c>
      <c r="G77" t="s">
        <v>17</v>
      </c>
      <c r="H77">
        <v>3</v>
      </c>
      <c r="I77" t="s">
        <v>23</v>
      </c>
      <c r="J77">
        <v>13.102</v>
      </c>
      <c r="K77">
        <v>77.586399999999998</v>
      </c>
      <c r="L77">
        <v>560064</v>
      </c>
      <c r="M77" t="s">
        <v>19</v>
      </c>
      <c r="N77" t="s">
        <v>20</v>
      </c>
      <c r="O77" t="str">
        <f t="shared" si="3"/>
        <v>Loyal Customer</v>
      </c>
    </row>
    <row r="78" spans="1:15" x14ac:dyDescent="0.25">
      <c r="A78">
        <v>26</v>
      </c>
      <c r="B78" t="str">
        <f t="shared" si="2"/>
        <v>25-29</v>
      </c>
      <c r="C78" t="s">
        <v>24</v>
      </c>
      <c r="D78" t="s">
        <v>14</v>
      </c>
      <c r="E78" t="s">
        <v>15</v>
      </c>
      <c r="F78" t="s">
        <v>16</v>
      </c>
      <c r="G78" t="s">
        <v>17</v>
      </c>
      <c r="H78">
        <v>4</v>
      </c>
      <c r="I78" t="s">
        <v>18</v>
      </c>
      <c r="J78">
        <v>12.9048</v>
      </c>
      <c r="K78">
        <v>77.682100000000005</v>
      </c>
      <c r="L78">
        <v>560036</v>
      </c>
      <c r="M78" t="s">
        <v>19</v>
      </c>
      <c r="N78" t="s">
        <v>20</v>
      </c>
      <c r="O78" t="str">
        <f t="shared" si="3"/>
        <v>Loyal Customer</v>
      </c>
    </row>
    <row r="79" spans="1:15" x14ac:dyDescent="0.25">
      <c r="A79">
        <v>21</v>
      </c>
      <c r="B79" t="str">
        <f t="shared" si="2"/>
        <v>18-24</v>
      </c>
      <c r="C79" t="s">
        <v>24</v>
      </c>
      <c r="D79" t="s">
        <v>14</v>
      </c>
      <c r="E79" t="s">
        <v>15</v>
      </c>
      <c r="F79" t="s">
        <v>16</v>
      </c>
      <c r="G79" t="s">
        <v>22</v>
      </c>
      <c r="H79">
        <v>4</v>
      </c>
      <c r="I79" t="s">
        <v>18</v>
      </c>
      <c r="J79">
        <v>12.977</v>
      </c>
      <c r="K79">
        <v>77.577299999999994</v>
      </c>
      <c r="L79">
        <v>560009</v>
      </c>
      <c r="M79" t="s">
        <v>19</v>
      </c>
      <c r="N79" t="s">
        <v>20</v>
      </c>
      <c r="O79" t="str">
        <f t="shared" si="3"/>
        <v>Loyal Customer</v>
      </c>
    </row>
    <row r="80" spans="1:15" x14ac:dyDescent="0.25">
      <c r="A80">
        <v>22</v>
      </c>
      <c r="B80" t="str">
        <f t="shared" si="2"/>
        <v>18-24</v>
      </c>
      <c r="C80" t="s">
        <v>13</v>
      </c>
      <c r="D80" t="s">
        <v>14</v>
      </c>
      <c r="E80" t="s">
        <v>15</v>
      </c>
      <c r="F80" t="s">
        <v>16</v>
      </c>
      <c r="G80" t="s">
        <v>17</v>
      </c>
      <c r="H80">
        <v>3</v>
      </c>
      <c r="I80" t="s">
        <v>23</v>
      </c>
      <c r="J80">
        <v>12.977</v>
      </c>
      <c r="K80">
        <v>77.577299999999994</v>
      </c>
      <c r="L80">
        <v>560009</v>
      </c>
      <c r="M80" t="s">
        <v>19</v>
      </c>
      <c r="N80" t="s">
        <v>20</v>
      </c>
      <c r="O80" t="str">
        <f t="shared" si="3"/>
        <v>Loyal Customer</v>
      </c>
    </row>
    <row r="81" spans="1:15" x14ac:dyDescent="0.25">
      <c r="A81">
        <v>24</v>
      </c>
      <c r="B81" t="str">
        <f t="shared" si="2"/>
        <v>18-24</v>
      </c>
      <c r="C81" t="s">
        <v>24</v>
      </c>
      <c r="D81" t="s">
        <v>14</v>
      </c>
      <c r="E81" t="s">
        <v>15</v>
      </c>
      <c r="F81" t="s">
        <v>16</v>
      </c>
      <c r="G81" t="s">
        <v>17</v>
      </c>
      <c r="H81">
        <v>5</v>
      </c>
      <c r="I81" t="s">
        <v>18</v>
      </c>
      <c r="J81">
        <v>12.9337</v>
      </c>
      <c r="K81">
        <v>77.59</v>
      </c>
      <c r="L81">
        <v>560011</v>
      </c>
      <c r="M81" t="s">
        <v>19</v>
      </c>
      <c r="N81" t="s">
        <v>20</v>
      </c>
      <c r="O81" t="str">
        <f t="shared" si="3"/>
        <v>Loyal Customer</v>
      </c>
    </row>
    <row r="82" spans="1:15" x14ac:dyDescent="0.25">
      <c r="A82">
        <v>24</v>
      </c>
      <c r="B82" t="str">
        <f t="shared" si="2"/>
        <v>18-24</v>
      </c>
      <c r="C82" t="s">
        <v>24</v>
      </c>
      <c r="D82" t="s">
        <v>14</v>
      </c>
      <c r="E82" t="s">
        <v>15</v>
      </c>
      <c r="F82" t="s">
        <v>30</v>
      </c>
      <c r="G82" t="s">
        <v>17</v>
      </c>
      <c r="H82">
        <v>4</v>
      </c>
      <c r="I82" t="s">
        <v>18</v>
      </c>
      <c r="J82">
        <v>12.903700000000001</v>
      </c>
      <c r="K82">
        <v>77.537599999999998</v>
      </c>
      <c r="L82">
        <v>560061</v>
      </c>
      <c r="M82" t="s">
        <v>19</v>
      </c>
      <c r="N82" t="s">
        <v>20</v>
      </c>
      <c r="O82" t="str">
        <f t="shared" si="3"/>
        <v>Loyal Customer</v>
      </c>
    </row>
    <row r="83" spans="1:15" x14ac:dyDescent="0.25">
      <c r="A83">
        <v>23</v>
      </c>
      <c r="B83" t="str">
        <f t="shared" si="2"/>
        <v>18-24</v>
      </c>
      <c r="C83" t="s">
        <v>13</v>
      </c>
      <c r="D83" t="s">
        <v>14</v>
      </c>
      <c r="E83" t="s">
        <v>15</v>
      </c>
      <c r="F83" t="s">
        <v>16</v>
      </c>
      <c r="G83" t="s">
        <v>17</v>
      </c>
      <c r="H83">
        <v>3</v>
      </c>
      <c r="I83" t="s">
        <v>23</v>
      </c>
      <c r="J83">
        <v>12.977</v>
      </c>
      <c r="K83">
        <v>77.577299999999994</v>
      </c>
      <c r="L83">
        <v>560009</v>
      </c>
      <c r="M83" t="s">
        <v>19</v>
      </c>
      <c r="N83" t="s">
        <v>20</v>
      </c>
      <c r="O83" t="str">
        <f t="shared" si="3"/>
        <v>Loyal Customer</v>
      </c>
    </row>
    <row r="84" spans="1:15" x14ac:dyDescent="0.25">
      <c r="A84">
        <v>23</v>
      </c>
      <c r="B84" t="str">
        <f t="shared" si="2"/>
        <v>18-24</v>
      </c>
      <c r="C84" t="s">
        <v>24</v>
      </c>
      <c r="D84" t="s">
        <v>14</v>
      </c>
      <c r="E84" t="s">
        <v>15</v>
      </c>
      <c r="F84" t="s">
        <v>16</v>
      </c>
      <c r="G84" t="s">
        <v>17</v>
      </c>
      <c r="H84">
        <v>3</v>
      </c>
      <c r="I84" t="s">
        <v>23</v>
      </c>
      <c r="J84">
        <v>12.9343</v>
      </c>
      <c r="K84">
        <v>77.604399999999998</v>
      </c>
      <c r="L84">
        <v>560029</v>
      </c>
      <c r="M84" t="s">
        <v>19</v>
      </c>
      <c r="N84" t="s">
        <v>20</v>
      </c>
      <c r="O84" t="str">
        <f t="shared" si="3"/>
        <v>Loyal Customer</v>
      </c>
    </row>
    <row r="85" spans="1:15" x14ac:dyDescent="0.25">
      <c r="A85">
        <v>22</v>
      </c>
      <c r="B85" t="str">
        <f t="shared" si="2"/>
        <v>18-24</v>
      </c>
      <c r="C85" t="s">
        <v>24</v>
      </c>
      <c r="D85" t="s">
        <v>14</v>
      </c>
      <c r="E85" t="s">
        <v>15</v>
      </c>
      <c r="F85" t="s">
        <v>16</v>
      </c>
      <c r="G85" t="s">
        <v>17</v>
      </c>
      <c r="H85">
        <v>3</v>
      </c>
      <c r="I85" t="s">
        <v>23</v>
      </c>
      <c r="J85">
        <v>12.9438</v>
      </c>
      <c r="K85">
        <v>77.573800000000006</v>
      </c>
      <c r="L85">
        <v>560004</v>
      </c>
      <c r="M85" t="s">
        <v>19</v>
      </c>
      <c r="N85" t="s">
        <v>20</v>
      </c>
      <c r="O85" t="str">
        <f t="shared" si="3"/>
        <v>Loyal Customer</v>
      </c>
    </row>
    <row r="86" spans="1:15" x14ac:dyDescent="0.25">
      <c r="A86">
        <v>23</v>
      </c>
      <c r="B86" t="str">
        <f t="shared" si="2"/>
        <v>18-24</v>
      </c>
      <c r="C86" t="s">
        <v>24</v>
      </c>
      <c r="D86" t="s">
        <v>14</v>
      </c>
      <c r="E86" t="s">
        <v>15</v>
      </c>
      <c r="F86" t="s">
        <v>16</v>
      </c>
      <c r="G86" t="s">
        <v>17</v>
      </c>
      <c r="H86">
        <v>3</v>
      </c>
      <c r="I86" t="s">
        <v>23</v>
      </c>
      <c r="J86">
        <v>12.977</v>
      </c>
      <c r="K86">
        <v>77.577299999999994</v>
      </c>
      <c r="L86">
        <v>560009</v>
      </c>
      <c r="M86" t="s">
        <v>19</v>
      </c>
      <c r="N86" t="s">
        <v>20</v>
      </c>
      <c r="O86" t="str">
        <f t="shared" si="3"/>
        <v>Loyal Customer</v>
      </c>
    </row>
    <row r="87" spans="1:15" x14ac:dyDescent="0.25">
      <c r="A87">
        <v>24</v>
      </c>
      <c r="B87" t="str">
        <f t="shared" si="2"/>
        <v>18-24</v>
      </c>
      <c r="C87" t="s">
        <v>13</v>
      </c>
      <c r="D87" t="s">
        <v>14</v>
      </c>
      <c r="E87" t="s">
        <v>15</v>
      </c>
      <c r="F87" t="s">
        <v>16</v>
      </c>
      <c r="G87" t="s">
        <v>17</v>
      </c>
      <c r="H87">
        <v>4</v>
      </c>
      <c r="I87" t="s">
        <v>18</v>
      </c>
      <c r="J87">
        <v>12.978300000000001</v>
      </c>
      <c r="K87">
        <v>77.640799999999999</v>
      </c>
      <c r="L87">
        <v>560038</v>
      </c>
      <c r="M87" t="s">
        <v>19</v>
      </c>
      <c r="N87" t="s">
        <v>20</v>
      </c>
      <c r="O87" t="str">
        <f t="shared" si="3"/>
        <v>Loyal Customer</v>
      </c>
    </row>
    <row r="88" spans="1:15" x14ac:dyDescent="0.25">
      <c r="A88">
        <v>24</v>
      </c>
      <c r="B88" t="str">
        <f t="shared" si="2"/>
        <v>18-24</v>
      </c>
      <c r="C88" t="s">
        <v>24</v>
      </c>
      <c r="D88" t="s">
        <v>14</v>
      </c>
      <c r="E88" t="s">
        <v>15</v>
      </c>
      <c r="F88" t="s">
        <v>16</v>
      </c>
      <c r="G88" t="s">
        <v>17</v>
      </c>
      <c r="H88">
        <v>5</v>
      </c>
      <c r="I88" t="s">
        <v>18</v>
      </c>
      <c r="J88">
        <v>12.9337</v>
      </c>
      <c r="K88">
        <v>77.59</v>
      </c>
      <c r="L88">
        <v>560011</v>
      </c>
      <c r="M88" t="s">
        <v>19</v>
      </c>
      <c r="N88" t="s">
        <v>20</v>
      </c>
      <c r="O88" t="str">
        <f t="shared" si="3"/>
        <v>Loyal Customer</v>
      </c>
    </row>
    <row r="89" spans="1:15" x14ac:dyDescent="0.25">
      <c r="A89">
        <v>25</v>
      </c>
      <c r="B89" t="str">
        <f t="shared" si="2"/>
        <v>25-29</v>
      </c>
      <c r="C89" t="s">
        <v>24</v>
      </c>
      <c r="D89" t="s">
        <v>14</v>
      </c>
      <c r="E89" t="s">
        <v>15</v>
      </c>
      <c r="F89" t="s">
        <v>16</v>
      </c>
      <c r="G89" t="s">
        <v>22</v>
      </c>
      <c r="H89">
        <v>1</v>
      </c>
      <c r="I89" t="s">
        <v>32</v>
      </c>
      <c r="J89">
        <v>12.977</v>
      </c>
      <c r="K89">
        <v>77.577299999999994</v>
      </c>
      <c r="L89">
        <v>560009</v>
      </c>
      <c r="M89" t="s">
        <v>19</v>
      </c>
      <c r="N89" t="s">
        <v>20</v>
      </c>
      <c r="O89" t="str">
        <f t="shared" si="3"/>
        <v>Loyal Customer</v>
      </c>
    </row>
    <row r="90" spans="1:15" x14ac:dyDescent="0.25">
      <c r="A90">
        <v>25</v>
      </c>
      <c r="B90" t="str">
        <f t="shared" si="2"/>
        <v>25-29</v>
      </c>
      <c r="C90" t="s">
        <v>24</v>
      </c>
      <c r="D90" t="s">
        <v>14</v>
      </c>
      <c r="E90" t="s">
        <v>15</v>
      </c>
      <c r="F90" t="s">
        <v>16</v>
      </c>
      <c r="G90" t="s">
        <v>17</v>
      </c>
      <c r="H90">
        <v>5</v>
      </c>
      <c r="I90" t="s">
        <v>18</v>
      </c>
      <c r="J90">
        <v>12.977</v>
      </c>
      <c r="K90">
        <v>77.577299999999994</v>
      </c>
      <c r="L90">
        <v>560009</v>
      </c>
      <c r="M90" t="s">
        <v>34</v>
      </c>
      <c r="N90" t="s">
        <v>20</v>
      </c>
      <c r="O90" t="str">
        <f t="shared" si="3"/>
        <v>Lost Potential</v>
      </c>
    </row>
    <row r="91" spans="1:15" x14ac:dyDescent="0.25">
      <c r="A91">
        <v>28</v>
      </c>
      <c r="B91" t="str">
        <f t="shared" si="2"/>
        <v>25-29</v>
      </c>
      <c r="C91" t="s">
        <v>24</v>
      </c>
      <c r="D91" t="s">
        <v>26</v>
      </c>
      <c r="E91" t="s">
        <v>29</v>
      </c>
      <c r="F91" t="s">
        <v>30</v>
      </c>
      <c r="G91" t="s">
        <v>22</v>
      </c>
      <c r="H91">
        <v>2</v>
      </c>
      <c r="I91" t="s">
        <v>23</v>
      </c>
      <c r="J91">
        <v>13.0289</v>
      </c>
      <c r="K91">
        <v>77.540000000000006</v>
      </c>
      <c r="L91">
        <v>560022</v>
      </c>
      <c r="M91" t="s">
        <v>34</v>
      </c>
      <c r="N91" t="s">
        <v>25</v>
      </c>
      <c r="O91" t="str">
        <f t="shared" si="3"/>
        <v>Churned &amp; Unhappy</v>
      </c>
    </row>
    <row r="92" spans="1:15" x14ac:dyDescent="0.25">
      <c r="A92">
        <v>27</v>
      </c>
      <c r="B92" t="str">
        <f t="shared" si="2"/>
        <v>25-29</v>
      </c>
      <c r="C92" t="s">
        <v>13</v>
      </c>
      <c r="D92" t="s">
        <v>35</v>
      </c>
      <c r="E92" t="s">
        <v>27</v>
      </c>
      <c r="F92" t="s">
        <v>31</v>
      </c>
      <c r="G92" t="s">
        <v>17</v>
      </c>
      <c r="H92">
        <v>5</v>
      </c>
      <c r="I92" t="s">
        <v>18</v>
      </c>
      <c r="J92">
        <v>13.0289</v>
      </c>
      <c r="K92">
        <v>77.540000000000006</v>
      </c>
      <c r="L92">
        <v>560022</v>
      </c>
      <c r="M92" t="s">
        <v>34</v>
      </c>
      <c r="N92" t="s">
        <v>20</v>
      </c>
      <c r="O92" t="str">
        <f t="shared" si="3"/>
        <v>Lost Potential</v>
      </c>
    </row>
    <row r="93" spans="1:15" x14ac:dyDescent="0.25">
      <c r="A93">
        <v>26</v>
      </c>
      <c r="B93" t="str">
        <f t="shared" si="2"/>
        <v>25-29</v>
      </c>
      <c r="C93" t="s">
        <v>24</v>
      </c>
      <c r="D93" t="s">
        <v>14</v>
      </c>
      <c r="E93" t="s">
        <v>29</v>
      </c>
      <c r="F93" t="s">
        <v>30</v>
      </c>
      <c r="G93" t="s">
        <v>33</v>
      </c>
      <c r="H93">
        <v>1</v>
      </c>
      <c r="I93" t="s">
        <v>32</v>
      </c>
      <c r="J93">
        <v>12.969799999999999</v>
      </c>
      <c r="K93">
        <v>77.75</v>
      </c>
      <c r="L93">
        <v>560066</v>
      </c>
      <c r="M93" t="s">
        <v>34</v>
      </c>
      <c r="N93" t="s">
        <v>20</v>
      </c>
      <c r="O93" t="str">
        <f t="shared" si="3"/>
        <v>Lost Potential</v>
      </c>
    </row>
    <row r="94" spans="1:15" x14ac:dyDescent="0.25">
      <c r="A94">
        <v>22</v>
      </c>
      <c r="B94" t="str">
        <f t="shared" si="2"/>
        <v>18-24</v>
      </c>
      <c r="C94" t="s">
        <v>24</v>
      </c>
      <c r="D94" t="s">
        <v>14</v>
      </c>
      <c r="E94" t="s">
        <v>15</v>
      </c>
      <c r="F94" t="s">
        <v>16</v>
      </c>
      <c r="G94" t="s">
        <v>17</v>
      </c>
      <c r="H94">
        <v>2</v>
      </c>
      <c r="I94" t="s">
        <v>23</v>
      </c>
      <c r="J94">
        <v>12.977</v>
      </c>
      <c r="K94">
        <v>77.577299999999994</v>
      </c>
      <c r="L94">
        <v>560009</v>
      </c>
      <c r="M94" t="s">
        <v>19</v>
      </c>
      <c r="N94" t="s">
        <v>20</v>
      </c>
      <c r="O94" t="str">
        <f t="shared" si="3"/>
        <v>Loyal Customer</v>
      </c>
    </row>
    <row r="95" spans="1:15" x14ac:dyDescent="0.25">
      <c r="A95">
        <v>24</v>
      </c>
      <c r="B95" t="str">
        <f t="shared" si="2"/>
        <v>18-24</v>
      </c>
      <c r="C95" t="s">
        <v>13</v>
      </c>
      <c r="D95" t="s">
        <v>14</v>
      </c>
      <c r="E95" t="s">
        <v>15</v>
      </c>
      <c r="F95" t="s">
        <v>16</v>
      </c>
      <c r="G95" t="s">
        <v>17</v>
      </c>
      <c r="H95">
        <v>3</v>
      </c>
      <c r="I95" t="s">
        <v>23</v>
      </c>
      <c r="J95">
        <v>12.977</v>
      </c>
      <c r="K95">
        <v>77.577299999999994</v>
      </c>
      <c r="L95">
        <v>560009</v>
      </c>
      <c r="M95" t="s">
        <v>19</v>
      </c>
      <c r="N95" t="s">
        <v>20</v>
      </c>
      <c r="O95" t="str">
        <f t="shared" si="3"/>
        <v>Loyal Customer</v>
      </c>
    </row>
    <row r="96" spans="1:15" x14ac:dyDescent="0.25">
      <c r="A96">
        <v>23</v>
      </c>
      <c r="B96" t="str">
        <f t="shared" si="2"/>
        <v>18-24</v>
      </c>
      <c r="C96" t="s">
        <v>24</v>
      </c>
      <c r="D96" t="s">
        <v>14</v>
      </c>
      <c r="E96" t="s">
        <v>15</v>
      </c>
      <c r="F96" t="s">
        <v>16</v>
      </c>
      <c r="G96" t="s">
        <v>17</v>
      </c>
      <c r="H96">
        <v>1</v>
      </c>
      <c r="I96" t="s">
        <v>32</v>
      </c>
      <c r="J96">
        <v>12.956099999999999</v>
      </c>
      <c r="K96">
        <v>77.592100000000002</v>
      </c>
      <c r="L96">
        <v>560027</v>
      </c>
      <c r="M96" t="s">
        <v>19</v>
      </c>
      <c r="N96" t="s">
        <v>20</v>
      </c>
      <c r="O96" t="str">
        <f t="shared" si="3"/>
        <v>Loyal Customer</v>
      </c>
    </row>
    <row r="97" spans="1:15" x14ac:dyDescent="0.25">
      <c r="A97">
        <v>25</v>
      </c>
      <c r="B97" t="str">
        <f t="shared" si="2"/>
        <v>25-29</v>
      </c>
      <c r="C97" t="s">
        <v>24</v>
      </c>
      <c r="D97" t="s">
        <v>14</v>
      </c>
      <c r="E97" t="s">
        <v>15</v>
      </c>
      <c r="F97" t="s">
        <v>16</v>
      </c>
      <c r="G97" t="s">
        <v>22</v>
      </c>
      <c r="H97">
        <v>1</v>
      </c>
      <c r="I97" t="s">
        <v>32</v>
      </c>
      <c r="J97">
        <v>12.977</v>
      </c>
      <c r="K97">
        <v>77.577299999999994</v>
      </c>
      <c r="L97">
        <v>560009</v>
      </c>
      <c r="M97" t="s">
        <v>19</v>
      </c>
      <c r="N97" t="s">
        <v>20</v>
      </c>
      <c r="O97" t="str">
        <f t="shared" si="3"/>
        <v>Loyal Customer</v>
      </c>
    </row>
    <row r="98" spans="1:15" x14ac:dyDescent="0.25">
      <c r="A98">
        <v>23</v>
      </c>
      <c r="B98" t="str">
        <f t="shared" si="2"/>
        <v>18-24</v>
      </c>
      <c r="C98" t="s">
        <v>13</v>
      </c>
      <c r="D98" t="s">
        <v>14</v>
      </c>
      <c r="E98" t="s">
        <v>15</v>
      </c>
      <c r="F98" t="s">
        <v>16</v>
      </c>
      <c r="G98" t="s">
        <v>22</v>
      </c>
      <c r="H98">
        <v>5</v>
      </c>
      <c r="I98" t="s">
        <v>18</v>
      </c>
      <c r="J98">
        <v>13.0206</v>
      </c>
      <c r="K98">
        <v>77.647900000000007</v>
      </c>
      <c r="L98">
        <v>560043</v>
      </c>
      <c r="M98" t="s">
        <v>19</v>
      </c>
      <c r="N98" t="s">
        <v>20</v>
      </c>
      <c r="O98" t="str">
        <f t="shared" si="3"/>
        <v>Loyal Customer</v>
      </c>
    </row>
    <row r="99" spans="1:15" x14ac:dyDescent="0.25">
      <c r="A99">
        <v>23</v>
      </c>
      <c r="B99" t="str">
        <f t="shared" si="2"/>
        <v>18-24</v>
      </c>
      <c r="C99" t="s">
        <v>13</v>
      </c>
      <c r="D99" t="s">
        <v>14</v>
      </c>
      <c r="E99" t="s">
        <v>15</v>
      </c>
      <c r="F99" t="s">
        <v>16</v>
      </c>
      <c r="G99" t="s">
        <v>22</v>
      </c>
      <c r="H99">
        <v>5</v>
      </c>
      <c r="I99" t="s">
        <v>18</v>
      </c>
      <c r="J99">
        <v>13.0206</v>
      </c>
      <c r="K99">
        <v>77.647900000000007</v>
      </c>
      <c r="L99">
        <v>560043</v>
      </c>
      <c r="M99" t="s">
        <v>19</v>
      </c>
      <c r="N99" t="s">
        <v>20</v>
      </c>
      <c r="O99" t="str">
        <f t="shared" si="3"/>
        <v>Loyal Customer</v>
      </c>
    </row>
    <row r="100" spans="1:15" x14ac:dyDescent="0.25">
      <c r="A100">
        <v>26</v>
      </c>
      <c r="B100" t="str">
        <f t="shared" si="2"/>
        <v>25-29</v>
      </c>
      <c r="C100" t="s">
        <v>24</v>
      </c>
      <c r="D100" t="s">
        <v>26</v>
      </c>
      <c r="E100" t="s">
        <v>27</v>
      </c>
      <c r="F100" t="s">
        <v>31</v>
      </c>
      <c r="G100" t="s">
        <v>22</v>
      </c>
      <c r="H100">
        <v>5</v>
      </c>
      <c r="I100" t="s">
        <v>18</v>
      </c>
      <c r="J100">
        <v>12.9579</v>
      </c>
      <c r="K100">
        <v>77.630899999999997</v>
      </c>
      <c r="L100">
        <v>560007</v>
      </c>
      <c r="M100" t="s">
        <v>34</v>
      </c>
      <c r="N100" t="s">
        <v>20</v>
      </c>
      <c r="O100" t="str">
        <f t="shared" si="3"/>
        <v>Lost Potential</v>
      </c>
    </row>
    <row r="101" spans="1:15" x14ac:dyDescent="0.25">
      <c r="A101">
        <v>32</v>
      </c>
      <c r="B101" t="str">
        <f t="shared" si="2"/>
        <v>30-33</v>
      </c>
      <c r="C101" t="s">
        <v>13</v>
      </c>
      <c r="D101" t="s">
        <v>26</v>
      </c>
      <c r="E101" t="s">
        <v>36</v>
      </c>
      <c r="F101" t="s">
        <v>16</v>
      </c>
      <c r="G101" t="s">
        <v>37</v>
      </c>
      <c r="H101">
        <v>3</v>
      </c>
      <c r="I101" t="s">
        <v>23</v>
      </c>
      <c r="J101">
        <v>13.013999999999999</v>
      </c>
      <c r="K101">
        <v>77.565799999999996</v>
      </c>
      <c r="L101">
        <v>560012</v>
      </c>
      <c r="M101" t="s">
        <v>34</v>
      </c>
      <c r="N101" t="s">
        <v>20</v>
      </c>
      <c r="O101" t="str">
        <f t="shared" si="3"/>
        <v>Lost Potential</v>
      </c>
    </row>
    <row r="102" spans="1:15" x14ac:dyDescent="0.25">
      <c r="A102">
        <v>24</v>
      </c>
      <c r="B102" t="str">
        <f t="shared" si="2"/>
        <v>18-24</v>
      </c>
      <c r="C102" t="s">
        <v>13</v>
      </c>
      <c r="D102" t="s">
        <v>14</v>
      </c>
      <c r="E102" t="s">
        <v>15</v>
      </c>
      <c r="F102" t="s">
        <v>30</v>
      </c>
      <c r="G102" t="s">
        <v>17</v>
      </c>
      <c r="H102">
        <v>3</v>
      </c>
      <c r="I102" t="s">
        <v>23</v>
      </c>
      <c r="J102">
        <v>12.9335</v>
      </c>
      <c r="K102">
        <v>77.569100000000006</v>
      </c>
      <c r="L102">
        <v>560028</v>
      </c>
      <c r="M102" t="s">
        <v>34</v>
      </c>
      <c r="N102" t="s">
        <v>20</v>
      </c>
      <c r="O102" t="str">
        <f t="shared" si="3"/>
        <v>Lost Potential</v>
      </c>
    </row>
    <row r="103" spans="1:15" x14ac:dyDescent="0.25">
      <c r="A103">
        <v>23</v>
      </c>
      <c r="B103" t="str">
        <f t="shared" si="2"/>
        <v>18-24</v>
      </c>
      <c r="C103" t="s">
        <v>24</v>
      </c>
      <c r="D103" t="s">
        <v>14</v>
      </c>
      <c r="E103" t="s">
        <v>15</v>
      </c>
      <c r="F103" t="s">
        <v>16</v>
      </c>
      <c r="G103" t="s">
        <v>17</v>
      </c>
      <c r="H103">
        <v>2</v>
      </c>
      <c r="I103" t="s">
        <v>23</v>
      </c>
      <c r="J103">
        <v>12.9442</v>
      </c>
      <c r="K103">
        <v>77.607600000000005</v>
      </c>
      <c r="L103">
        <v>560030</v>
      </c>
      <c r="M103" t="s">
        <v>19</v>
      </c>
      <c r="N103" t="s">
        <v>20</v>
      </c>
      <c r="O103" t="str">
        <f t="shared" si="3"/>
        <v>Loyal Customer</v>
      </c>
    </row>
    <row r="104" spans="1:15" x14ac:dyDescent="0.25">
      <c r="A104">
        <v>22</v>
      </c>
      <c r="B104" t="str">
        <f t="shared" si="2"/>
        <v>18-24</v>
      </c>
      <c r="C104" t="s">
        <v>13</v>
      </c>
      <c r="D104" t="s">
        <v>14</v>
      </c>
      <c r="E104" t="s">
        <v>27</v>
      </c>
      <c r="F104" t="s">
        <v>30</v>
      </c>
      <c r="G104" t="s">
        <v>22</v>
      </c>
      <c r="H104">
        <v>3</v>
      </c>
      <c r="I104" t="s">
        <v>23</v>
      </c>
      <c r="J104">
        <v>12.969799999999999</v>
      </c>
      <c r="K104">
        <v>77.75</v>
      </c>
      <c r="L104">
        <v>560066</v>
      </c>
      <c r="M104" t="s">
        <v>19</v>
      </c>
      <c r="N104" t="s">
        <v>20</v>
      </c>
      <c r="O104" t="str">
        <f t="shared" si="3"/>
        <v>Loyal Customer</v>
      </c>
    </row>
    <row r="105" spans="1:15" x14ac:dyDescent="0.25">
      <c r="A105">
        <v>24</v>
      </c>
      <c r="B105" t="str">
        <f t="shared" si="2"/>
        <v>18-24</v>
      </c>
      <c r="C105" t="s">
        <v>13</v>
      </c>
      <c r="D105" t="s">
        <v>14</v>
      </c>
      <c r="E105" t="s">
        <v>15</v>
      </c>
      <c r="F105" t="s">
        <v>16</v>
      </c>
      <c r="G105" t="s">
        <v>33</v>
      </c>
      <c r="H105">
        <v>3</v>
      </c>
      <c r="I105" t="s">
        <v>23</v>
      </c>
      <c r="J105">
        <v>12.9438</v>
      </c>
      <c r="K105">
        <v>77.573800000000006</v>
      </c>
      <c r="L105">
        <v>560004</v>
      </c>
      <c r="M105" t="s">
        <v>19</v>
      </c>
      <c r="N105" t="s">
        <v>20</v>
      </c>
      <c r="O105" t="str">
        <f t="shared" si="3"/>
        <v>Loyal Customer</v>
      </c>
    </row>
    <row r="106" spans="1:15" x14ac:dyDescent="0.25">
      <c r="A106">
        <v>26</v>
      </c>
      <c r="B106" t="str">
        <f t="shared" si="2"/>
        <v>25-29</v>
      </c>
      <c r="C106" t="s">
        <v>24</v>
      </c>
      <c r="D106" t="s">
        <v>14</v>
      </c>
      <c r="E106" t="s">
        <v>27</v>
      </c>
      <c r="F106" t="s">
        <v>31</v>
      </c>
      <c r="G106" t="s">
        <v>22</v>
      </c>
      <c r="H106">
        <v>2</v>
      </c>
      <c r="I106" t="s">
        <v>23</v>
      </c>
      <c r="J106">
        <v>12.9261</v>
      </c>
      <c r="K106">
        <v>77.622100000000003</v>
      </c>
      <c r="L106">
        <v>560034</v>
      </c>
      <c r="M106" t="s">
        <v>19</v>
      </c>
      <c r="N106" t="s">
        <v>25</v>
      </c>
      <c r="O106" t="str">
        <f t="shared" si="3"/>
        <v>Churned &amp; Unhappy</v>
      </c>
    </row>
    <row r="107" spans="1:15" x14ac:dyDescent="0.25">
      <c r="A107">
        <v>28</v>
      </c>
      <c r="B107" t="str">
        <f t="shared" si="2"/>
        <v>25-29</v>
      </c>
      <c r="C107" t="s">
        <v>24</v>
      </c>
      <c r="D107" t="s">
        <v>26</v>
      </c>
      <c r="E107" t="s">
        <v>27</v>
      </c>
      <c r="F107" t="s">
        <v>28</v>
      </c>
      <c r="G107" t="s">
        <v>22</v>
      </c>
      <c r="H107">
        <v>3</v>
      </c>
      <c r="I107" t="s">
        <v>23</v>
      </c>
      <c r="J107">
        <v>12.969799999999999</v>
      </c>
      <c r="K107">
        <v>77.75</v>
      </c>
      <c r="L107">
        <v>560066</v>
      </c>
      <c r="M107" t="s">
        <v>34</v>
      </c>
      <c r="N107" t="s">
        <v>20</v>
      </c>
      <c r="O107" t="str">
        <f t="shared" si="3"/>
        <v>Lost Potential</v>
      </c>
    </row>
    <row r="108" spans="1:15" x14ac:dyDescent="0.25">
      <c r="A108">
        <v>26</v>
      </c>
      <c r="B108" t="str">
        <f t="shared" si="2"/>
        <v>25-29</v>
      </c>
      <c r="C108" t="s">
        <v>24</v>
      </c>
      <c r="D108" t="s">
        <v>14</v>
      </c>
      <c r="E108" t="s">
        <v>27</v>
      </c>
      <c r="F108" t="s">
        <v>28</v>
      </c>
      <c r="G108" t="s">
        <v>17</v>
      </c>
      <c r="H108">
        <v>2</v>
      </c>
      <c r="I108" t="s">
        <v>23</v>
      </c>
      <c r="J108">
        <v>12.969799999999999</v>
      </c>
      <c r="K108">
        <v>77.75</v>
      </c>
      <c r="L108">
        <v>560066</v>
      </c>
      <c r="M108" t="s">
        <v>34</v>
      </c>
      <c r="N108" t="s">
        <v>20</v>
      </c>
      <c r="O108" t="str">
        <f t="shared" si="3"/>
        <v>Lost Potential</v>
      </c>
    </row>
    <row r="109" spans="1:15" x14ac:dyDescent="0.25">
      <c r="A109">
        <v>25</v>
      </c>
      <c r="B109" t="str">
        <f t="shared" si="2"/>
        <v>25-29</v>
      </c>
      <c r="C109" t="s">
        <v>24</v>
      </c>
      <c r="D109" t="s">
        <v>14</v>
      </c>
      <c r="E109" t="s">
        <v>15</v>
      </c>
      <c r="F109" t="s">
        <v>16</v>
      </c>
      <c r="G109" t="s">
        <v>17</v>
      </c>
      <c r="H109">
        <v>1</v>
      </c>
      <c r="I109" t="s">
        <v>32</v>
      </c>
      <c r="J109">
        <v>12.9343</v>
      </c>
      <c r="K109">
        <v>77.604399999999998</v>
      </c>
      <c r="L109">
        <v>560029</v>
      </c>
      <c r="M109" t="s">
        <v>19</v>
      </c>
      <c r="N109" t="s">
        <v>20</v>
      </c>
      <c r="O109" t="str">
        <f t="shared" si="3"/>
        <v>Loyal Customer</v>
      </c>
    </row>
    <row r="110" spans="1:15" x14ac:dyDescent="0.25">
      <c r="A110">
        <v>25</v>
      </c>
      <c r="B110" t="str">
        <f t="shared" si="2"/>
        <v>25-29</v>
      </c>
      <c r="C110" t="s">
        <v>24</v>
      </c>
      <c r="D110" t="s">
        <v>14</v>
      </c>
      <c r="E110" t="s">
        <v>27</v>
      </c>
      <c r="F110" t="s">
        <v>21</v>
      </c>
      <c r="G110" t="s">
        <v>22</v>
      </c>
      <c r="H110">
        <v>2</v>
      </c>
      <c r="I110" t="s">
        <v>23</v>
      </c>
      <c r="J110">
        <v>12.969799999999999</v>
      </c>
      <c r="K110">
        <v>77.75</v>
      </c>
      <c r="L110">
        <v>560066</v>
      </c>
      <c r="M110" t="s">
        <v>34</v>
      </c>
      <c r="N110" t="s">
        <v>20</v>
      </c>
      <c r="O110" t="str">
        <f t="shared" si="3"/>
        <v>Lost Potential</v>
      </c>
    </row>
    <row r="111" spans="1:15" x14ac:dyDescent="0.25">
      <c r="A111">
        <v>18</v>
      </c>
      <c r="B111" t="str">
        <f t="shared" si="2"/>
        <v>18-24</v>
      </c>
      <c r="C111" t="s">
        <v>24</v>
      </c>
      <c r="D111" t="s">
        <v>14</v>
      </c>
      <c r="E111" t="s">
        <v>15</v>
      </c>
      <c r="F111" t="s">
        <v>16</v>
      </c>
      <c r="G111" t="s">
        <v>22</v>
      </c>
      <c r="H111">
        <v>5</v>
      </c>
      <c r="I111" t="s">
        <v>18</v>
      </c>
      <c r="J111">
        <v>12.9635</v>
      </c>
      <c r="K111">
        <v>77.582099999999997</v>
      </c>
      <c r="L111">
        <v>560002</v>
      </c>
      <c r="M111" t="s">
        <v>19</v>
      </c>
      <c r="N111" t="s">
        <v>20</v>
      </c>
      <c r="O111" t="str">
        <f t="shared" si="3"/>
        <v>Loyal Customer</v>
      </c>
    </row>
    <row r="112" spans="1:15" x14ac:dyDescent="0.25">
      <c r="A112">
        <v>21</v>
      </c>
      <c r="B112" t="str">
        <f t="shared" si="2"/>
        <v>18-24</v>
      </c>
      <c r="C112" t="s">
        <v>24</v>
      </c>
      <c r="D112" t="s">
        <v>14</v>
      </c>
      <c r="E112" t="s">
        <v>15</v>
      </c>
      <c r="F112" t="s">
        <v>16</v>
      </c>
      <c r="G112" t="s">
        <v>17</v>
      </c>
      <c r="H112">
        <v>4</v>
      </c>
      <c r="I112" t="s">
        <v>18</v>
      </c>
      <c r="J112">
        <v>12.977</v>
      </c>
      <c r="K112">
        <v>77.577299999999994</v>
      </c>
      <c r="L112">
        <v>560009</v>
      </c>
      <c r="M112" t="s">
        <v>19</v>
      </c>
      <c r="N112" t="s">
        <v>20</v>
      </c>
      <c r="O112" t="str">
        <f t="shared" si="3"/>
        <v>Loyal Customer</v>
      </c>
    </row>
    <row r="113" spans="1:15" x14ac:dyDescent="0.25">
      <c r="A113">
        <v>25</v>
      </c>
      <c r="B113" t="str">
        <f t="shared" si="2"/>
        <v>25-29</v>
      </c>
      <c r="C113" t="s">
        <v>24</v>
      </c>
      <c r="D113" t="s">
        <v>14</v>
      </c>
      <c r="E113" t="s">
        <v>15</v>
      </c>
      <c r="F113" t="s">
        <v>16</v>
      </c>
      <c r="G113" t="s">
        <v>17</v>
      </c>
      <c r="H113">
        <v>1</v>
      </c>
      <c r="I113" t="s">
        <v>32</v>
      </c>
      <c r="J113">
        <v>12.9343</v>
      </c>
      <c r="K113">
        <v>77.604399999999998</v>
      </c>
      <c r="L113">
        <v>560029</v>
      </c>
      <c r="M113" t="s">
        <v>19</v>
      </c>
      <c r="N113" t="s">
        <v>20</v>
      </c>
      <c r="O113" t="str">
        <f t="shared" si="3"/>
        <v>Loyal Customer</v>
      </c>
    </row>
    <row r="114" spans="1:15" x14ac:dyDescent="0.25">
      <c r="A114">
        <v>25</v>
      </c>
      <c r="B114" t="str">
        <f t="shared" si="2"/>
        <v>25-29</v>
      </c>
      <c r="C114" t="s">
        <v>24</v>
      </c>
      <c r="D114" t="s">
        <v>14</v>
      </c>
      <c r="E114" t="s">
        <v>15</v>
      </c>
      <c r="F114" t="s">
        <v>21</v>
      </c>
      <c r="G114" t="s">
        <v>17</v>
      </c>
      <c r="H114">
        <v>2</v>
      </c>
      <c r="I114" t="s">
        <v>23</v>
      </c>
      <c r="J114">
        <v>12.9925</v>
      </c>
      <c r="K114">
        <v>77.563299999999998</v>
      </c>
      <c r="L114">
        <v>560021</v>
      </c>
      <c r="M114" t="s">
        <v>19</v>
      </c>
      <c r="N114" t="s">
        <v>20</v>
      </c>
      <c r="O114" t="str">
        <f t="shared" si="3"/>
        <v>Loyal Customer</v>
      </c>
    </row>
    <row r="115" spans="1:15" x14ac:dyDescent="0.25">
      <c r="A115">
        <v>23</v>
      </c>
      <c r="B115" t="str">
        <f t="shared" si="2"/>
        <v>18-24</v>
      </c>
      <c r="C115" t="s">
        <v>13</v>
      </c>
      <c r="D115" t="s">
        <v>14</v>
      </c>
      <c r="E115" t="s">
        <v>15</v>
      </c>
      <c r="F115" t="s">
        <v>16</v>
      </c>
      <c r="G115" t="s">
        <v>22</v>
      </c>
      <c r="H115">
        <v>5</v>
      </c>
      <c r="I115" t="s">
        <v>18</v>
      </c>
      <c r="J115">
        <v>13.0206</v>
      </c>
      <c r="K115">
        <v>77.647900000000007</v>
      </c>
      <c r="L115">
        <v>560043</v>
      </c>
      <c r="M115" t="s">
        <v>19</v>
      </c>
      <c r="N115" t="s">
        <v>20</v>
      </c>
      <c r="O115" t="str">
        <f t="shared" si="3"/>
        <v>Loyal Customer</v>
      </c>
    </row>
    <row r="116" spans="1:15" x14ac:dyDescent="0.25">
      <c r="A116">
        <v>23</v>
      </c>
      <c r="B116" t="str">
        <f t="shared" si="2"/>
        <v>18-24</v>
      </c>
      <c r="C116" t="s">
        <v>24</v>
      </c>
      <c r="D116" t="s">
        <v>14</v>
      </c>
      <c r="E116" t="s">
        <v>27</v>
      </c>
      <c r="F116" t="s">
        <v>30</v>
      </c>
      <c r="G116" t="s">
        <v>17</v>
      </c>
      <c r="H116">
        <v>2</v>
      </c>
      <c r="I116" t="s">
        <v>23</v>
      </c>
      <c r="J116">
        <v>12.984999999999999</v>
      </c>
      <c r="K116">
        <v>77.553299999999993</v>
      </c>
      <c r="L116">
        <v>560010</v>
      </c>
      <c r="M116" t="s">
        <v>19</v>
      </c>
      <c r="N116" t="s">
        <v>20</v>
      </c>
      <c r="O116" t="str">
        <f t="shared" si="3"/>
        <v>Loyal Customer</v>
      </c>
    </row>
    <row r="117" spans="1:15" x14ac:dyDescent="0.25">
      <c r="A117">
        <v>25</v>
      </c>
      <c r="B117" t="str">
        <f t="shared" si="2"/>
        <v>25-29</v>
      </c>
      <c r="C117" t="s">
        <v>13</v>
      </c>
      <c r="D117" t="s">
        <v>26</v>
      </c>
      <c r="E117" t="s">
        <v>27</v>
      </c>
      <c r="F117" t="s">
        <v>31</v>
      </c>
      <c r="G117" t="s">
        <v>22</v>
      </c>
      <c r="H117">
        <v>4</v>
      </c>
      <c r="I117" t="s">
        <v>18</v>
      </c>
      <c r="J117">
        <v>12.9551</v>
      </c>
      <c r="K117">
        <v>77.659300000000002</v>
      </c>
      <c r="L117">
        <v>560017</v>
      </c>
      <c r="M117" t="s">
        <v>34</v>
      </c>
      <c r="N117" t="s">
        <v>25</v>
      </c>
      <c r="O117" t="str">
        <f t="shared" si="3"/>
        <v>Churned &amp; Unhappy</v>
      </c>
    </row>
    <row r="118" spans="1:15" x14ac:dyDescent="0.25">
      <c r="A118">
        <v>31</v>
      </c>
      <c r="B118" t="str">
        <f t="shared" si="2"/>
        <v>30-33</v>
      </c>
      <c r="C118" t="s">
        <v>13</v>
      </c>
      <c r="D118" t="s">
        <v>26</v>
      </c>
      <c r="E118" t="s">
        <v>36</v>
      </c>
      <c r="F118" t="s">
        <v>16</v>
      </c>
      <c r="G118" t="s">
        <v>38</v>
      </c>
      <c r="H118">
        <v>5</v>
      </c>
      <c r="I118" t="s">
        <v>18</v>
      </c>
      <c r="J118">
        <v>13.0289</v>
      </c>
      <c r="K118">
        <v>77.540000000000006</v>
      </c>
      <c r="L118">
        <v>560022</v>
      </c>
      <c r="M118" t="s">
        <v>19</v>
      </c>
      <c r="N118" t="s">
        <v>20</v>
      </c>
      <c r="O118" t="str">
        <f t="shared" si="3"/>
        <v>Loyal Customer</v>
      </c>
    </row>
    <row r="119" spans="1:15" x14ac:dyDescent="0.25">
      <c r="A119">
        <v>24</v>
      </c>
      <c r="B119" t="str">
        <f t="shared" si="2"/>
        <v>18-24</v>
      </c>
      <c r="C119" t="s">
        <v>24</v>
      </c>
      <c r="D119" t="s">
        <v>35</v>
      </c>
      <c r="E119" t="s">
        <v>29</v>
      </c>
      <c r="F119" t="s">
        <v>28</v>
      </c>
      <c r="G119" t="s">
        <v>33</v>
      </c>
      <c r="H119">
        <v>2</v>
      </c>
      <c r="I119" t="s">
        <v>23</v>
      </c>
      <c r="J119">
        <v>13.0138</v>
      </c>
      <c r="K119">
        <v>77.587699999999998</v>
      </c>
      <c r="L119">
        <v>560006</v>
      </c>
      <c r="M119" t="s">
        <v>34</v>
      </c>
      <c r="N119" t="s">
        <v>20</v>
      </c>
      <c r="O119" t="str">
        <f t="shared" si="3"/>
        <v>Lost Potential</v>
      </c>
    </row>
    <row r="120" spans="1:15" x14ac:dyDescent="0.25">
      <c r="A120">
        <v>32</v>
      </c>
      <c r="B120" t="str">
        <f t="shared" si="2"/>
        <v>30-33</v>
      </c>
      <c r="C120" t="s">
        <v>13</v>
      </c>
      <c r="D120" t="s">
        <v>26</v>
      </c>
      <c r="E120" t="s">
        <v>27</v>
      </c>
      <c r="F120" t="s">
        <v>31</v>
      </c>
      <c r="G120" t="s">
        <v>22</v>
      </c>
      <c r="H120">
        <v>5</v>
      </c>
      <c r="I120" t="s">
        <v>18</v>
      </c>
      <c r="J120">
        <v>12.9261</v>
      </c>
      <c r="K120">
        <v>77.622100000000003</v>
      </c>
      <c r="L120">
        <v>560034</v>
      </c>
      <c r="M120" t="s">
        <v>19</v>
      </c>
      <c r="N120" t="s">
        <v>20</v>
      </c>
      <c r="O120" t="str">
        <f t="shared" si="3"/>
        <v>Loyal Customer</v>
      </c>
    </row>
    <row r="121" spans="1:15" x14ac:dyDescent="0.25">
      <c r="A121">
        <v>25</v>
      </c>
      <c r="B121" t="str">
        <f t="shared" si="2"/>
        <v>25-29</v>
      </c>
      <c r="C121" t="s">
        <v>24</v>
      </c>
      <c r="D121" t="s">
        <v>14</v>
      </c>
      <c r="E121" t="s">
        <v>27</v>
      </c>
      <c r="F121" t="s">
        <v>31</v>
      </c>
      <c r="G121" t="s">
        <v>22</v>
      </c>
      <c r="H121">
        <v>3</v>
      </c>
      <c r="I121" t="s">
        <v>23</v>
      </c>
      <c r="J121">
        <v>12.976599999999999</v>
      </c>
      <c r="K121">
        <v>77.599299999999999</v>
      </c>
      <c r="L121">
        <v>560001</v>
      </c>
      <c r="M121" t="s">
        <v>19</v>
      </c>
      <c r="N121" t="s">
        <v>20</v>
      </c>
      <c r="O121" t="str">
        <f t="shared" si="3"/>
        <v>Loyal Customer</v>
      </c>
    </row>
    <row r="122" spans="1:15" x14ac:dyDescent="0.25">
      <c r="A122">
        <v>27</v>
      </c>
      <c r="B122" t="str">
        <f t="shared" si="2"/>
        <v>25-29</v>
      </c>
      <c r="C122" t="s">
        <v>13</v>
      </c>
      <c r="D122" t="s">
        <v>26</v>
      </c>
      <c r="E122" t="s">
        <v>29</v>
      </c>
      <c r="F122" t="s">
        <v>28</v>
      </c>
      <c r="G122" t="s">
        <v>22</v>
      </c>
      <c r="H122">
        <v>5</v>
      </c>
      <c r="I122" t="s">
        <v>18</v>
      </c>
      <c r="J122">
        <v>12.976599999999999</v>
      </c>
      <c r="K122">
        <v>77.599299999999999</v>
      </c>
      <c r="L122">
        <v>560001</v>
      </c>
      <c r="M122" t="s">
        <v>34</v>
      </c>
      <c r="N122" t="s">
        <v>20</v>
      </c>
      <c r="O122" t="str">
        <f t="shared" si="3"/>
        <v>Lost Potential</v>
      </c>
    </row>
    <row r="123" spans="1:15" x14ac:dyDescent="0.25">
      <c r="A123">
        <v>26</v>
      </c>
      <c r="B123" t="str">
        <f t="shared" si="2"/>
        <v>25-29</v>
      </c>
      <c r="C123" t="s">
        <v>24</v>
      </c>
      <c r="D123" t="s">
        <v>14</v>
      </c>
      <c r="E123" t="s">
        <v>29</v>
      </c>
      <c r="F123" t="s">
        <v>31</v>
      </c>
      <c r="G123" t="s">
        <v>22</v>
      </c>
      <c r="H123">
        <v>3</v>
      </c>
      <c r="I123" t="s">
        <v>23</v>
      </c>
      <c r="J123">
        <v>12.976599999999999</v>
      </c>
      <c r="K123">
        <v>77.599299999999999</v>
      </c>
      <c r="L123">
        <v>560001</v>
      </c>
      <c r="M123" t="s">
        <v>19</v>
      </c>
      <c r="N123" t="s">
        <v>20</v>
      </c>
      <c r="O123" t="str">
        <f t="shared" si="3"/>
        <v>Loyal Customer</v>
      </c>
    </row>
    <row r="124" spans="1:15" x14ac:dyDescent="0.25">
      <c r="A124">
        <v>26</v>
      </c>
      <c r="B124" t="str">
        <f t="shared" si="2"/>
        <v>25-29</v>
      </c>
      <c r="C124" t="s">
        <v>13</v>
      </c>
      <c r="D124" t="s">
        <v>14</v>
      </c>
      <c r="E124" t="s">
        <v>29</v>
      </c>
      <c r="F124" t="s">
        <v>31</v>
      </c>
      <c r="G124" t="s">
        <v>17</v>
      </c>
      <c r="H124">
        <v>3</v>
      </c>
      <c r="I124" t="s">
        <v>23</v>
      </c>
      <c r="J124">
        <v>12.9635</v>
      </c>
      <c r="K124">
        <v>77.582099999999997</v>
      </c>
      <c r="L124">
        <v>560002</v>
      </c>
      <c r="M124" t="s">
        <v>19</v>
      </c>
      <c r="N124" t="s">
        <v>20</v>
      </c>
      <c r="O124" t="str">
        <f t="shared" si="3"/>
        <v>Loyal Customer</v>
      </c>
    </row>
    <row r="125" spans="1:15" x14ac:dyDescent="0.25">
      <c r="A125">
        <v>32</v>
      </c>
      <c r="B125" t="str">
        <f t="shared" si="2"/>
        <v>30-33</v>
      </c>
      <c r="C125" t="s">
        <v>24</v>
      </c>
      <c r="D125" t="s">
        <v>26</v>
      </c>
      <c r="E125" t="s">
        <v>27</v>
      </c>
      <c r="F125" t="s">
        <v>28</v>
      </c>
      <c r="G125" t="s">
        <v>33</v>
      </c>
      <c r="H125">
        <v>5</v>
      </c>
      <c r="I125" t="s">
        <v>18</v>
      </c>
      <c r="J125">
        <v>12.9635</v>
      </c>
      <c r="K125">
        <v>77.582099999999997</v>
      </c>
      <c r="L125">
        <v>560002</v>
      </c>
      <c r="M125" t="s">
        <v>19</v>
      </c>
      <c r="N125" t="s">
        <v>25</v>
      </c>
      <c r="O125" t="str">
        <f t="shared" si="3"/>
        <v>Churned &amp; Unhappy</v>
      </c>
    </row>
    <row r="126" spans="1:15" x14ac:dyDescent="0.25">
      <c r="A126">
        <v>24</v>
      </c>
      <c r="B126" t="str">
        <f t="shared" si="2"/>
        <v>18-24</v>
      </c>
      <c r="C126" t="s">
        <v>24</v>
      </c>
      <c r="D126" t="s">
        <v>26</v>
      </c>
      <c r="E126" t="s">
        <v>29</v>
      </c>
      <c r="F126" t="s">
        <v>28</v>
      </c>
      <c r="G126" t="s">
        <v>33</v>
      </c>
      <c r="H126">
        <v>6</v>
      </c>
      <c r="I126" t="s">
        <v>18</v>
      </c>
      <c r="J126">
        <v>12.9635</v>
      </c>
      <c r="K126">
        <v>77.582099999999997</v>
      </c>
      <c r="L126">
        <v>560002</v>
      </c>
      <c r="M126" t="s">
        <v>34</v>
      </c>
      <c r="N126" t="s">
        <v>25</v>
      </c>
      <c r="O126" t="str">
        <f t="shared" si="3"/>
        <v>Churned &amp; Unhappy</v>
      </c>
    </row>
    <row r="127" spans="1:15" x14ac:dyDescent="0.25">
      <c r="A127">
        <v>27</v>
      </c>
      <c r="B127" t="str">
        <f t="shared" si="2"/>
        <v>25-29</v>
      </c>
      <c r="C127" t="s">
        <v>13</v>
      </c>
      <c r="D127" t="s">
        <v>26</v>
      </c>
      <c r="E127" t="s">
        <v>29</v>
      </c>
      <c r="F127" t="s">
        <v>31</v>
      </c>
      <c r="G127" t="s">
        <v>22</v>
      </c>
      <c r="H127">
        <v>3</v>
      </c>
      <c r="I127" t="s">
        <v>23</v>
      </c>
      <c r="J127">
        <v>12.9635</v>
      </c>
      <c r="K127">
        <v>77.582099999999997</v>
      </c>
      <c r="L127">
        <v>560002</v>
      </c>
      <c r="M127" t="s">
        <v>19</v>
      </c>
      <c r="N127" t="s">
        <v>20</v>
      </c>
      <c r="O127" t="str">
        <f t="shared" si="3"/>
        <v>Loyal Customer</v>
      </c>
    </row>
    <row r="128" spans="1:15" x14ac:dyDescent="0.25">
      <c r="A128">
        <v>23</v>
      </c>
      <c r="B128" t="str">
        <f t="shared" si="2"/>
        <v>18-24</v>
      </c>
      <c r="C128" t="s">
        <v>24</v>
      </c>
      <c r="D128" t="s">
        <v>14</v>
      </c>
      <c r="E128" t="s">
        <v>15</v>
      </c>
      <c r="F128" t="s">
        <v>16</v>
      </c>
      <c r="G128" t="s">
        <v>17</v>
      </c>
      <c r="H128">
        <v>3</v>
      </c>
      <c r="I128" t="s">
        <v>23</v>
      </c>
      <c r="J128">
        <v>12.977</v>
      </c>
      <c r="K128">
        <v>77.577299999999994</v>
      </c>
      <c r="L128">
        <v>560009</v>
      </c>
      <c r="M128" t="s">
        <v>19</v>
      </c>
      <c r="N128" t="s">
        <v>20</v>
      </c>
      <c r="O128" t="str">
        <f t="shared" si="3"/>
        <v>Loyal Customer</v>
      </c>
    </row>
    <row r="129" spans="1:15" x14ac:dyDescent="0.25">
      <c r="A129">
        <v>25</v>
      </c>
      <c r="B129" t="str">
        <f t="shared" si="2"/>
        <v>25-29</v>
      </c>
      <c r="C129" t="s">
        <v>24</v>
      </c>
      <c r="D129" t="s">
        <v>14</v>
      </c>
      <c r="E129" t="s">
        <v>15</v>
      </c>
      <c r="F129" t="s">
        <v>16</v>
      </c>
      <c r="G129" t="s">
        <v>17</v>
      </c>
      <c r="H129">
        <v>4</v>
      </c>
      <c r="I129" t="s">
        <v>18</v>
      </c>
      <c r="J129">
        <v>12.977</v>
      </c>
      <c r="K129">
        <v>77.577299999999994</v>
      </c>
      <c r="L129">
        <v>560009</v>
      </c>
      <c r="M129" t="s">
        <v>19</v>
      </c>
      <c r="N129" t="s">
        <v>20</v>
      </c>
      <c r="O129" t="str">
        <f t="shared" si="3"/>
        <v>Loyal Customer</v>
      </c>
    </row>
    <row r="130" spans="1:15" x14ac:dyDescent="0.25">
      <c r="A130">
        <v>23</v>
      </c>
      <c r="B130" t="str">
        <f t="shared" si="2"/>
        <v>18-24</v>
      </c>
      <c r="C130" t="s">
        <v>24</v>
      </c>
      <c r="D130" t="s">
        <v>14</v>
      </c>
      <c r="E130" t="s">
        <v>15</v>
      </c>
      <c r="F130" t="s">
        <v>16</v>
      </c>
      <c r="G130" t="s">
        <v>17</v>
      </c>
      <c r="H130">
        <v>3</v>
      </c>
      <c r="I130" t="s">
        <v>23</v>
      </c>
      <c r="J130">
        <v>12.977</v>
      </c>
      <c r="K130">
        <v>77.577299999999994</v>
      </c>
      <c r="L130">
        <v>560009</v>
      </c>
      <c r="M130" t="s">
        <v>19</v>
      </c>
      <c r="N130" t="s">
        <v>20</v>
      </c>
      <c r="O130" t="str">
        <f t="shared" si="3"/>
        <v>Loyal Customer</v>
      </c>
    </row>
    <row r="131" spans="1:15" x14ac:dyDescent="0.25">
      <c r="A131">
        <v>23</v>
      </c>
      <c r="B131" t="str">
        <f t="shared" ref="B131:B194" si="4">IF(A131&lt;18, "Under 18", IF(A131&lt;=24, "18-24", IF(A131&lt;=29, "25-29", IF(A131&lt;=33, "30-33", "34+"))))</f>
        <v>18-24</v>
      </c>
      <c r="C131" t="s">
        <v>13</v>
      </c>
      <c r="D131" t="s">
        <v>14</v>
      </c>
      <c r="E131" t="s">
        <v>15</v>
      </c>
      <c r="F131" t="s">
        <v>16</v>
      </c>
      <c r="G131" t="s">
        <v>17</v>
      </c>
      <c r="H131">
        <v>4</v>
      </c>
      <c r="I131" t="s">
        <v>18</v>
      </c>
      <c r="J131">
        <v>13.0487</v>
      </c>
      <c r="K131">
        <v>77.592299999999994</v>
      </c>
      <c r="L131">
        <v>560024</v>
      </c>
      <c r="M131" t="s">
        <v>19</v>
      </c>
      <c r="N131" t="s">
        <v>20</v>
      </c>
      <c r="O131" t="str">
        <f t="shared" ref="O131:O194" si="5">IF(AND(M131="Yes",N131="Positive"),"Loyal Customer",
 IF(AND(M131="Yes",N131="Negative"),"At Risk",
 IF(AND(M131="No",N131="Positive"),"Lost Potential","Churned &amp; Unhappy")))</f>
        <v>Loyal Customer</v>
      </c>
    </row>
    <row r="132" spans="1:15" x14ac:dyDescent="0.25">
      <c r="A132">
        <v>28</v>
      </c>
      <c r="B132" t="str">
        <f t="shared" si="4"/>
        <v>25-29</v>
      </c>
      <c r="C132" t="s">
        <v>24</v>
      </c>
      <c r="D132" t="s">
        <v>26</v>
      </c>
      <c r="E132" t="s">
        <v>27</v>
      </c>
      <c r="F132" t="s">
        <v>28</v>
      </c>
      <c r="G132" t="s">
        <v>17</v>
      </c>
      <c r="H132">
        <v>3</v>
      </c>
      <c r="I132" t="s">
        <v>23</v>
      </c>
      <c r="J132">
        <v>13.001899999999999</v>
      </c>
      <c r="K132">
        <v>77.571299999999994</v>
      </c>
      <c r="L132">
        <v>560003</v>
      </c>
      <c r="M132" t="s">
        <v>19</v>
      </c>
      <c r="N132" t="s">
        <v>20</v>
      </c>
      <c r="O132" t="str">
        <f t="shared" si="5"/>
        <v>Loyal Customer</v>
      </c>
    </row>
    <row r="133" spans="1:15" x14ac:dyDescent="0.25">
      <c r="A133">
        <v>32</v>
      </c>
      <c r="B133" t="str">
        <f t="shared" si="4"/>
        <v>30-33</v>
      </c>
      <c r="C133" t="s">
        <v>13</v>
      </c>
      <c r="D133" t="s">
        <v>26</v>
      </c>
      <c r="E133" t="s">
        <v>27</v>
      </c>
      <c r="F133" t="s">
        <v>28</v>
      </c>
      <c r="G133" t="s">
        <v>22</v>
      </c>
      <c r="H133">
        <v>1</v>
      </c>
      <c r="I133" t="s">
        <v>32</v>
      </c>
      <c r="J133">
        <v>13.001899999999999</v>
      </c>
      <c r="K133">
        <v>77.571299999999994</v>
      </c>
      <c r="L133">
        <v>560003</v>
      </c>
      <c r="M133" t="s">
        <v>34</v>
      </c>
      <c r="N133" t="s">
        <v>20</v>
      </c>
      <c r="O133" t="str">
        <f t="shared" si="5"/>
        <v>Lost Potential</v>
      </c>
    </row>
    <row r="134" spans="1:15" x14ac:dyDescent="0.25">
      <c r="A134">
        <v>23</v>
      </c>
      <c r="B134" t="str">
        <f t="shared" si="4"/>
        <v>18-24</v>
      </c>
      <c r="C134" t="s">
        <v>24</v>
      </c>
      <c r="D134" t="s">
        <v>14</v>
      </c>
      <c r="E134" t="s">
        <v>15</v>
      </c>
      <c r="F134" t="s">
        <v>16</v>
      </c>
      <c r="G134" t="s">
        <v>17</v>
      </c>
      <c r="H134">
        <v>2</v>
      </c>
      <c r="I134" t="s">
        <v>23</v>
      </c>
      <c r="J134">
        <v>13.001899999999999</v>
      </c>
      <c r="K134">
        <v>77.571299999999994</v>
      </c>
      <c r="L134">
        <v>560003</v>
      </c>
      <c r="M134" t="s">
        <v>19</v>
      </c>
      <c r="N134" t="s">
        <v>20</v>
      </c>
      <c r="O134" t="str">
        <f t="shared" si="5"/>
        <v>Loyal Customer</v>
      </c>
    </row>
    <row r="135" spans="1:15" x14ac:dyDescent="0.25">
      <c r="A135">
        <v>19</v>
      </c>
      <c r="B135" t="str">
        <f t="shared" si="4"/>
        <v>18-24</v>
      </c>
      <c r="C135" t="s">
        <v>24</v>
      </c>
      <c r="D135" t="s">
        <v>14</v>
      </c>
      <c r="E135" t="s">
        <v>15</v>
      </c>
      <c r="F135" t="s">
        <v>16</v>
      </c>
      <c r="G135" t="s">
        <v>22</v>
      </c>
      <c r="H135">
        <v>2</v>
      </c>
      <c r="I135" t="s">
        <v>23</v>
      </c>
      <c r="J135">
        <v>13.001899999999999</v>
      </c>
      <c r="K135">
        <v>77.571299999999994</v>
      </c>
      <c r="L135">
        <v>560003</v>
      </c>
      <c r="M135" t="s">
        <v>34</v>
      </c>
      <c r="N135" t="s">
        <v>25</v>
      </c>
      <c r="O135" t="str">
        <f t="shared" si="5"/>
        <v>Churned &amp; Unhappy</v>
      </c>
    </row>
    <row r="136" spans="1:15" x14ac:dyDescent="0.25">
      <c r="A136">
        <v>19</v>
      </c>
      <c r="B136" t="str">
        <f t="shared" si="4"/>
        <v>18-24</v>
      </c>
      <c r="C136" t="s">
        <v>13</v>
      </c>
      <c r="D136" t="s">
        <v>14</v>
      </c>
      <c r="E136" t="s">
        <v>15</v>
      </c>
      <c r="F136" t="s">
        <v>16</v>
      </c>
      <c r="G136" t="s">
        <v>22</v>
      </c>
      <c r="H136">
        <v>4</v>
      </c>
      <c r="I136" t="s">
        <v>18</v>
      </c>
      <c r="J136">
        <v>12.9537</v>
      </c>
      <c r="K136">
        <v>77.617599999999996</v>
      </c>
      <c r="L136">
        <v>560047</v>
      </c>
      <c r="M136" t="s">
        <v>19</v>
      </c>
      <c r="N136" t="s">
        <v>20</v>
      </c>
      <c r="O136" t="str">
        <f t="shared" si="5"/>
        <v>Loyal Customer</v>
      </c>
    </row>
    <row r="137" spans="1:15" x14ac:dyDescent="0.25">
      <c r="A137">
        <v>27</v>
      </c>
      <c r="B137" t="str">
        <f t="shared" si="4"/>
        <v>25-29</v>
      </c>
      <c r="C137" t="s">
        <v>13</v>
      </c>
      <c r="D137" t="s">
        <v>26</v>
      </c>
      <c r="E137" t="s">
        <v>27</v>
      </c>
      <c r="F137" t="s">
        <v>31</v>
      </c>
      <c r="G137" t="s">
        <v>17</v>
      </c>
      <c r="H137">
        <v>2</v>
      </c>
      <c r="I137" t="s">
        <v>23</v>
      </c>
      <c r="J137">
        <v>12.969799999999999</v>
      </c>
      <c r="K137">
        <v>77.75</v>
      </c>
      <c r="L137">
        <v>560066</v>
      </c>
      <c r="M137" t="s">
        <v>34</v>
      </c>
      <c r="N137" t="s">
        <v>20</v>
      </c>
      <c r="O137" t="str">
        <f t="shared" si="5"/>
        <v>Lost Potential</v>
      </c>
    </row>
    <row r="138" spans="1:15" x14ac:dyDescent="0.25">
      <c r="A138">
        <v>25</v>
      </c>
      <c r="B138" t="str">
        <f t="shared" si="4"/>
        <v>25-29</v>
      </c>
      <c r="C138" t="s">
        <v>24</v>
      </c>
      <c r="D138" t="s">
        <v>14</v>
      </c>
      <c r="E138" t="s">
        <v>29</v>
      </c>
      <c r="F138" t="s">
        <v>31</v>
      </c>
      <c r="G138" t="s">
        <v>22</v>
      </c>
      <c r="H138">
        <v>3</v>
      </c>
      <c r="I138" t="s">
        <v>23</v>
      </c>
      <c r="J138">
        <v>12.997999999999999</v>
      </c>
      <c r="K138">
        <v>77.622699999999995</v>
      </c>
      <c r="L138">
        <v>560005</v>
      </c>
      <c r="M138" t="s">
        <v>19</v>
      </c>
      <c r="N138" t="s">
        <v>20</v>
      </c>
      <c r="O138" t="str">
        <f t="shared" si="5"/>
        <v>Loyal Customer</v>
      </c>
    </row>
    <row r="139" spans="1:15" x14ac:dyDescent="0.25">
      <c r="A139">
        <v>33</v>
      </c>
      <c r="B139" t="str">
        <f t="shared" si="4"/>
        <v>30-33</v>
      </c>
      <c r="C139" t="s">
        <v>24</v>
      </c>
      <c r="D139" t="s">
        <v>26</v>
      </c>
      <c r="E139" t="s">
        <v>27</v>
      </c>
      <c r="F139" t="s">
        <v>28</v>
      </c>
      <c r="G139" t="s">
        <v>33</v>
      </c>
      <c r="H139">
        <v>5</v>
      </c>
      <c r="I139" t="s">
        <v>18</v>
      </c>
      <c r="J139">
        <v>12.997999999999999</v>
      </c>
      <c r="K139">
        <v>77.622699999999995</v>
      </c>
      <c r="L139">
        <v>560005</v>
      </c>
      <c r="M139" t="s">
        <v>34</v>
      </c>
      <c r="N139" t="s">
        <v>25</v>
      </c>
      <c r="O139" t="str">
        <f t="shared" si="5"/>
        <v>Churned &amp; Unhappy</v>
      </c>
    </row>
    <row r="140" spans="1:15" x14ac:dyDescent="0.25">
      <c r="A140">
        <v>26</v>
      </c>
      <c r="B140" t="str">
        <f t="shared" si="4"/>
        <v>25-29</v>
      </c>
      <c r="C140" t="s">
        <v>13</v>
      </c>
      <c r="D140" t="s">
        <v>14</v>
      </c>
      <c r="E140" t="s">
        <v>27</v>
      </c>
      <c r="F140" t="s">
        <v>28</v>
      </c>
      <c r="G140" t="s">
        <v>22</v>
      </c>
      <c r="H140">
        <v>3</v>
      </c>
      <c r="I140" t="s">
        <v>23</v>
      </c>
      <c r="J140">
        <v>12.997999999999999</v>
      </c>
      <c r="K140">
        <v>77.622699999999995</v>
      </c>
      <c r="L140">
        <v>560005</v>
      </c>
      <c r="M140" t="s">
        <v>19</v>
      </c>
      <c r="N140" t="s">
        <v>20</v>
      </c>
      <c r="O140" t="str">
        <f t="shared" si="5"/>
        <v>Loyal Customer</v>
      </c>
    </row>
    <row r="141" spans="1:15" x14ac:dyDescent="0.25">
      <c r="A141">
        <v>22</v>
      </c>
      <c r="B141" t="str">
        <f t="shared" si="4"/>
        <v>18-24</v>
      </c>
      <c r="C141" t="s">
        <v>13</v>
      </c>
      <c r="D141" t="s">
        <v>14</v>
      </c>
      <c r="E141" t="s">
        <v>15</v>
      </c>
      <c r="F141" t="s">
        <v>21</v>
      </c>
      <c r="G141" t="s">
        <v>17</v>
      </c>
      <c r="H141">
        <v>4</v>
      </c>
      <c r="I141" t="s">
        <v>18</v>
      </c>
      <c r="J141">
        <v>12.9343</v>
      </c>
      <c r="K141">
        <v>77.604399999999998</v>
      </c>
      <c r="L141">
        <v>560029</v>
      </c>
      <c r="M141" t="s">
        <v>19</v>
      </c>
      <c r="N141" t="s">
        <v>20</v>
      </c>
      <c r="O141" t="str">
        <f t="shared" si="5"/>
        <v>Loyal Customer</v>
      </c>
    </row>
    <row r="142" spans="1:15" x14ac:dyDescent="0.25">
      <c r="A142">
        <v>23</v>
      </c>
      <c r="B142" t="str">
        <f t="shared" si="4"/>
        <v>18-24</v>
      </c>
      <c r="C142" t="s">
        <v>24</v>
      </c>
      <c r="D142" t="s">
        <v>14</v>
      </c>
      <c r="E142" t="s">
        <v>15</v>
      </c>
      <c r="F142" t="s">
        <v>16</v>
      </c>
      <c r="G142" t="s">
        <v>17</v>
      </c>
      <c r="H142">
        <v>3</v>
      </c>
      <c r="I142" t="s">
        <v>23</v>
      </c>
      <c r="J142">
        <v>13.102</v>
      </c>
      <c r="K142">
        <v>77.586399999999998</v>
      </c>
      <c r="L142">
        <v>560064</v>
      </c>
      <c r="M142" t="s">
        <v>34</v>
      </c>
      <c r="N142" t="s">
        <v>20</v>
      </c>
      <c r="O142" t="str">
        <f t="shared" si="5"/>
        <v>Lost Potential</v>
      </c>
    </row>
    <row r="143" spans="1:15" x14ac:dyDescent="0.25">
      <c r="A143">
        <v>22</v>
      </c>
      <c r="B143" t="str">
        <f t="shared" si="4"/>
        <v>18-24</v>
      </c>
      <c r="C143" t="s">
        <v>13</v>
      </c>
      <c r="D143" t="s">
        <v>14</v>
      </c>
      <c r="E143" t="s">
        <v>15</v>
      </c>
      <c r="F143" t="s">
        <v>16</v>
      </c>
      <c r="G143" t="s">
        <v>22</v>
      </c>
      <c r="H143">
        <v>3</v>
      </c>
      <c r="I143" t="s">
        <v>23</v>
      </c>
      <c r="J143">
        <v>13.0158</v>
      </c>
      <c r="K143">
        <v>77.539000000000001</v>
      </c>
      <c r="L143">
        <v>560096</v>
      </c>
      <c r="M143" t="s">
        <v>19</v>
      </c>
      <c r="N143" t="s">
        <v>25</v>
      </c>
      <c r="O143" t="str">
        <f t="shared" si="5"/>
        <v>Churned &amp; Unhappy</v>
      </c>
    </row>
    <row r="144" spans="1:15" x14ac:dyDescent="0.25">
      <c r="A144">
        <v>25</v>
      </c>
      <c r="B144" t="str">
        <f t="shared" si="4"/>
        <v>25-29</v>
      </c>
      <c r="C144" t="s">
        <v>24</v>
      </c>
      <c r="D144" t="s">
        <v>26</v>
      </c>
      <c r="E144" t="s">
        <v>27</v>
      </c>
      <c r="F144" t="s">
        <v>31</v>
      </c>
      <c r="G144" t="s">
        <v>22</v>
      </c>
      <c r="H144">
        <v>2</v>
      </c>
      <c r="I144" t="s">
        <v>23</v>
      </c>
      <c r="J144">
        <v>12.997999999999999</v>
      </c>
      <c r="K144">
        <v>77.622699999999995</v>
      </c>
      <c r="L144">
        <v>560005</v>
      </c>
      <c r="M144" t="s">
        <v>19</v>
      </c>
      <c r="N144" t="s">
        <v>20</v>
      </c>
      <c r="O144" t="str">
        <f t="shared" si="5"/>
        <v>Loyal Customer</v>
      </c>
    </row>
    <row r="145" spans="1:15" x14ac:dyDescent="0.25">
      <c r="A145">
        <v>30</v>
      </c>
      <c r="B145" t="str">
        <f t="shared" si="4"/>
        <v>30-33</v>
      </c>
      <c r="C145" t="s">
        <v>13</v>
      </c>
      <c r="D145" t="s">
        <v>26</v>
      </c>
      <c r="E145" t="s">
        <v>36</v>
      </c>
      <c r="F145" t="s">
        <v>16</v>
      </c>
      <c r="G145" t="s">
        <v>38</v>
      </c>
      <c r="H145">
        <v>5</v>
      </c>
      <c r="I145" t="s">
        <v>18</v>
      </c>
      <c r="J145">
        <v>12.997999999999999</v>
      </c>
      <c r="K145">
        <v>77.622699999999995</v>
      </c>
      <c r="L145">
        <v>560005</v>
      </c>
      <c r="M145" t="s">
        <v>19</v>
      </c>
      <c r="N145" t="s">
        <v>20</v>
      </c>
      <c r="O145" t="str">
        <f t="shared" si="5"/>
        <v>Loyal Customer</v>
      </c>
    </row>
    <row r="146" spans="1:15" x14ac:dyDescent="0.25">
      <c r="A146">
        <v>24</v>
      </c>
      <c r="B146" t="str">
        <f t="shared" si="4"/>
        <v>18-24</v>
      </c>
      <c r="C146" t="s">
        <v>24</v>
      </c>
      <c r="D146" t="s">
        <v>14</v>
      </c>
      <c r="E146" t="s">
        <v>15</v>
      </c>
      <c r="F146" t="s">
        <v>16</v>
      </c>
      <c r="G146" t="s">
        <v>17</v>
      </c>
      <c r="H146">
        <v>3</v>
      </c>
      <c r="I146" t="s">
        <v>23</v>
      </c>
      <c r="J146">
        <v>13.0138</v>
      </c>
      <c r="K146">
        <v>77.587699999999998</v>
      </c>
      <c r="L146">
        <v>560006</v>
      </c>
      <c r="M146" t="s">
        <v>34</v>
      </c>
      <c r="N146" t="s">
        <v>25</v>
      </c>
      <c r="O146" t="str">
        <f t="shared" si="5"/>
        <v>Churned &amp; Unhappy</v>
      </c>
    </row>
    <row r="147" spans="1:15" x14ac:dyDescent="0.25">
      <c r="A147">
        <v>25</v>
      </c>
      <c r="B147" t="str">
        <f t="shared" si="4"/>
        <v>25-29</v>
      </c>
      <c r="C147" t="s">
        <v>24</v>
      </c>
      <c r="D147" t="s">
        <v>14</v>
      </c>
      <c r="E147" t="s">
        <v>27</v>
      </c>
      <c r="F147" t="s">
        <v>30</v>
      </c>
      <c r="G147" t="s">
        <v>17</v>
      </c>
      <c r="H147">
        <v>3</v>
      </c>
      <c r="I147" t="s">
        <v>23</v>
      </c>
      <c r="J147">
        <v>13.0138</v>
      </c>
      <c r="K147">
        <v>77.587699999999998</v>
      </c>
      <c r="L147">
        <v>560006</v>
      </c>
      <c r="M147" t="s">
        <v>19</v>
      </c>
      <c r="N147" t="s">
        <v>20</v>
      </c>
      <c r="O147" t="str">
        <f t="shared" si="5"/>
        <v>Loyal Customer</v>
      </c>
    </row>
    <row r="148" spans="1:15" x14ac:dyDescent="0.25">
      <c r="A148">
        <v>23</v>
      </c>
      <c r="B148" t="str">
        <f t="shared" si="4"/>
        <v>18-24</v>
      </c>
      <c r="C148" t="s">
        <v>24</v>
      </c>
      <c r="D148" t="s">
        <v>14</v>
      </c>
      <c r="E148" t="s">
        <v>15</v>
      </c>
      <c r="F148" t="s">
        <v>28</v>
      </c>
      <c r="G148" t="s">
        <v>17</v>
      </c>
      <c r="H148">
        <v>3</v>
      </c>
      <c r="I148" t="s">
        <v>23</v>
      </c>
      <c r="J148">
        <v>12.977</v>
      </c>
      <c r="K148">
        <v>77.577299999999994</v>
      </c>
      <c r="L148">
        <v>560009</v>
      </c>
      <c r="M148" t="s">
        <v>19</v>
      </c>
      <c r="N148" t="s">
        <v>20</v>
      </c>
      <c r="O148" t="str">
        <f t="shared" si="5"/>
        <v>Loyal Customer</v>
      </c>
    </row>
    <row r="149" spans="1:15" x14ac:dyDescent="0.25">
      <c r="A149">
        <v>24</v>
      </c>
      <c r="B149" t="str">
        <f t="shared" si="4"/>
        <v>18-24</v>
      </c>
      <c r="C149" t="s">
        <v>13</v>
      </c>
      <c r="D149" t="s">
        <v>14</v>
      </c>
      <c r="E149" t="s">
        <v>15</v>
      </c>
      <c r="F149" t="s">
        <v>16</v>
      </c>
      <c r="G149" t="s">
        <v>17</v>
      </c>
      <c r="H149">
        <v>4</v>
      </c>
      <c r="I149" t="s">
        <v>18</v>
      </c>
      <c r="J149">
        <v>13.0496</v>
      </c>
      <c r="K149">
        <v>77.494100000000003</v>
      </c>
      <c r="L149">
        <v>560073</v>
      </c>
      <c r="M149" t="s">
        <v>19</v>
      </c>
      <c r="N149" t="s">
        <v>20</v>
      </c>
      <c r="O149" t="str">
        <f t="shared" si="5"/>
        <v>Loyal Customer</v>
      </c>
    </row>
    <row r="150" spans="1:15" x14ac:dyDescent="0.25">
      <c r="A150">
        <v>32</v>
      </c>
      <c r="B150" t="str">
        <f t="shared" si="4"/>
        <v>30-33</v>
      </c>
      <c r="C150" t="s">
        <v>24</v>
      </c>
      <c r="D150" t="s">
        <v>26</v>
      </c>
      <c r="E150" t="s">
        <v>27</v>
      </c>
      <c r="F150" t="s">
        <v>30</v>
      </c>
      <c r="G150" t="s">
        <v>22</v>
      </c>
      <c r="H150">
        <v>4</v>
      </c>
      <c r="I150" t="s">
        <v>18</v>
      </c>
      <c r="J150">
        <v>12.978300000000001</v>
      </c>
      <c r="K150">
        <v>77.640799999999999</v>
      </c>
      <c r="L150">
        <v>560038</v>
      </c>
      <c r="M150" t="s">
        <v>19</v>
      </c>
      <c r="N150" t="s">
        <v>20</v>
      </c>
      <c r="O150" t="str">
        <f t="shared" si="5"/>
        <v>Loyal Customer</v>
      </c>
    </row>
    <row r="151" spans="1:15" x14ac:dyDescent="0.25">
      <c r="A151">
        <v>22</v>
      </c>
      <c r="B151" t="str">
        <f t="shared" si="4"/>
        <v>18-24</v>
      </c>
      <c r="C151" t="s">
        <v>24</v>
      </c>
      <c r="D151" t="s">
        <v>14</v>
      </c>
      <c r="E151" t="s">
        <v>15</v>
      </c>
      <c r="F151" t="s">
        <v>16</v>
      </c>
      <c r="G151" t="s">
        <v>17</v>
      </c>
      <c r="H151">
        <v>4</v>
      </c>
      <c r="I151" t="s">
        <v>18</v>
      </c>
      <c r="J151">
        <v>12.988899999999999</v>
      </c>
      <c r="K151">
        <v>77.574100000000001</v>
      </c>
      <c r="L151">
        <v>560020</v>
      </c>
      <c r="M151" t="s">
        <v>19</v>
      </c>
      <c r="N151" t="s">
        <v>20</v>
      </c>
      <c r="O151" t="str">
        <f t="shared" si="5"/>
        <v>Loyal Customer</v>
      </c>
    </row>
    <row r="152" spans="1:15" x14ac:dyDescent="0.25">
      <c r="A152">
        <v>23</v>
      </c>
      <c r="B152" t="str">
        <f t="shared" si="4"/>
        <v>18-24</v>
      </c>
      <c r="C152" t="s">
        <v>24</v>
      </c>
      <c r="D152" t="s">
        <v>14</v>
      </c>
      <c r="E152" t="s">
        <v>15</v>
      </c>
      <c r="F152" t="s">
        <v>28</v>
      </c>
      <c r="G152" t="s">
        <v>17</v>
      </c>
      <c r="H152">
        <v>3</v>
      </c>
      <c r="I152" t="s">
        <v>23</v>
      </c>
      <c r="J152">
        <v>12.977</v>
      </c>
      <c r="K152">
        <v>77.577299999999994</v>
      </c>
      <c r="L152">
        <v>560009</v>
      </c>
      <c r="M152" t="s">
        <v>19</v>
      </c>
      <c r="N152" t="s">
        <v>20</v>
      </c>
      <c r="O152" t="str">
        <f t="shared" si="5"/>
        <v>Loyal Customer</v>
      </c>
    </row>
    <row r="153" spans="1:15" x14ac:dyDescent="0.25">
      <c r="A153">
        <v>23</v>
      </c>
      <c r="B153" t="str">
        <f t="shared" si="4"/>
        <v>18-24</v>
      </c>
      <c r="C153" t="s">
        <v>13</v>
      </c>
      <c r="D153" t="s">
        <v>14</v>
      </c>
      <c r="E153" t="s">
        <v>15</v>
      </c>
      <c r="F153" t="s">
        <v>16</v>
      </c>
      <c r="G153" t="s">
        <v>17</v>
      </c>
      <c r="H153">
        <v>4</v>
      </c>
      <c r="I153" t="s">
        <v>18</v>
      </c>
      <c r="J153">
        <v>13.0487</v>
      </c>
      <c r="K153">
        <v>77.592299999999994</v>
      </c>
      <c r="L153">
        <v>560024</v>
      </c>
      <c r="M153" t="s">
        <v>19</v>
      </c>
      <c r="N153" t="s">
        <v>20</v>
      </c>
      <c r="O153" t="str">
        <f t="shared" si="5"/>
        <v>Loyal Customer</v>
      </c>
    </row>
    <row r="154" spans="1:15" x14ac:dyDescent="0.25">
      <c r="A154">
        <v>20</v>
      </c>
      <c r="B154" t="str">
        <f t="shared" si="4"/>
        <v>18-24</v>
      </c>
      <c r="C154" t="s">
        <v>24</v>
      </c>
      <c r="D154" t="s">
        <v>14</v>
      </c>
      <c r="E154" t="s">
        <v>15</v>
      </c>
      <c r="F154" t="s">
        <v>16</v>
      </c>
      <c r="G154" t="s">
        <v>22</v>
      </c>
      <c r="H154">
        <v>2</v>
      </c>
      <c r="I154" t="s">
        <v>23</v>
      </c>
      <c r="J154">
        <v>12.9579</v>
      </c>
      <c r="K154">
        <v>77.630899999999997</v>
      </c>
      <c r="L154">
        <v>560007</v>
      </c>
      <c r="M154" t="s">
        <v>19</v>
      </c>
      <c r="N154" t="s">
        <v>20</v>
      </c>
      <c r="O154" t="str">
        <f t="shared" si="5"/>
        <v>Loyal Customer</v>
      </c>
    </row>
    <row r="155" spans="1:15" x14ac:dyDescent="0.25">
      <c r="A155">
        <v>21</v>
      </c>
      <c r="B155" t="str">
        <f t="shared" si="4"/>
        <v>18-24</v>
      </c>
      <c r="C155" t="s">
        <v>24</v>
      </c>
      <c r="D155" t="s">
        <v>14</v>
      </c>
      <c r="E155" t="s">
        <v>15</v>
      </c>
      <c r="F155" t="s">
        <v>16</v>
      </c>
      <c r="G155" t="s">
        <v>22</v>
      </c>
      <c r="H155">
        <v>2</v>
      </c>
      <c r="I155" t="s">
        <v>23</v>
      </c>
      <c r="J155">
        <v>12.9579</v>
      </c>
      <c r="K155">
        <v>77.630899999999997</v>
      </c>
      <c r="L155">
        <v>560007</v>
      </c>
      <c r="M155" t="s">
        <v>19</v>
      </c>
      <c r="N155" t="s">
        <v>20</v>
      </c>
      <c r="O155" t="str">
        <f t="shared" si="5"/>
        <v>Loyal Customer</v>
      </c>
    </row>
    <row r="156" spans="1:15" x14ac:dyDescent="0.25">
      <c r="A156">
        <v>24</v>
      </c>
      <c r="B156" t="str">
        <f t="shared" si="4"/>
        <v>18-24</v>
      </c>
      <c r="C156" t="s">
        <v>13</v>
      </c>
      <c r="D156" t="s">
        <v>26</v>
      </c>
      <c r="E156" t="s">
        <v>29</v>
      </c>
      <c r="F156" t="s">
        <v>30</v>
      </c>
      <c r="G156" t="s">
        <v>22</v>
      </c>
      <c r="H156">
        <v>5</v>
      </c>
      <c r="I156" t="s">
        <v>18</v>
      </c>
      <c r="J156">
        <v>12.9579</v>
      </c>
      <c r="K156">
        <v>77.630899999999997</v>
      </c>
      <c r="L156">
        <v>560007</v>
      </c>
      <c r="M156" t="s">
        <v>19</v>
      </c>
      <c r="N156" t="s">
        <v>20</v>
      </c>
      <c r="O156" t="str">
        <f t="shared" si="5"/>
        <v>Loyal Customer</v>
      </c>
    </row>
    <row r="157" spans="1:15" x14ac:dyDescent="0.25">
      <c r="A157">
        <v>23</v>
      </c>
      <c r="B157" t="str">
        <f t="shared" si="4"/>
        <v>18-24</v>
      </c>
      <c r="C157" t="s">
        <v>13</v>
      </c>
      <c r="D157" t="s">
        <v>14</v>
      </c>
      <c r="E157" t="s">
        <v>15</v>
      </c>
      <c r="F157" t="s">
        <v>16</v>
      </c>
      <c r="G157" t="s">
        <v>17</v>
      </c>
      <c r="H157">
        <v>4</v>
      </c>
      <c r="I157" t="s">
        <v>18</v>
      </c>
      <c r="J157">
        <v>13.0487</v>
      </c>
      <c r="K157">
        <v>77.592299999999994</v>
      </c>
      <c r="L157">
        <v>560024</v>
      </c>
      <c r="M157" t="s">
        <v>19</v>
      </c>
      <c r="N157" t="s">
        <v>20</v>
      </c>
      <c r="O157" t="str">
        <f t="shared" si="5"/>
        <v>Loyal Customer</v>
      </c>
    </row>
    <row r="158" spans="1:15" x14ac:dyDescent="0.25">
      <c r="A158">
        <v>25</v>
      </c>
      <c r="B158" t="str">
        <f t="shared" si="4"/>
        <v>25-29</v>
      </c>
      <c r="C158" t="s">
        <v>24</v>
      </c>
      <c r="D158" t="s">
        <v>14</v>
      </c>
      <c r="E158" t="s">
        <v>27</v>
      </c>
      <c r="F158" t="s">
        <v>31</v>
      </c>
      <c r="G158" t="s">
        <v>17</v>
      </c>
      <c r="H158">
        <v>3</v>
      </c>
      <c r="I158" t="s">
        <v>23</v>
      </c>
      <c r="J158">
        <v>12.984999999999999</v>
      </c>
      <c r="K158">
        <v>77.553299999999993</v>
      </c>
      <c r="L158">
        <v>560010</v>
      </c>
      <c r="M158" t="s">
        <v>19</v>
      </c>
      <c r="N158" t="s">
        <v>20</v>
      </c>
      <c r="O158" t="str">
        <f t="shared" si="5"/>
        <v>Loyal Customer</v>
      </c>
    </row>
    <row r="159" spans="1:15" x14ac:dyDescent="0.25">
      <c r="A159">
        <v>32</v>
      </c>
      <c r="B159" t="str">
        <f t="shared" si="4"/>
        <v>30-33</v>
      </c>
      <c r="C159" t="s">
        <v>13</v>
      </c>
      <c r="D159" t="s">
        <v>26</v>
      </c>
      <c r="E159" t="s">
        <v>36</v>
      </c>
      <c r="F159" t="s">
        <v>16</v>
      </c>
      <c r="G159" t="s">
        <v>22</v>
      </c>
      <c r="H159">
        <v>3</v>
      </c>
      <c r="I159" t="s">
        <v>23</v>
      </c>
      <c r="J159">
        <v>12.984999999999999</v>
      </c>
      <c r="K159">
        <v>77.553299999999993</v>
      </c>
      <c r="L159">
        <v>560010</v>
      </c>
      <c r="M159" t="s">
        <v>19</v>
      </c>
      <c r="N159" t="s">
        <v>20</v>
      </c>
      <c r="O159" t="str">
        <f t="shared" si="5"/>
        <v>Loyal Customer</v>
      </c>
    </row>
    <row r="160" spans="1:15" x14ac:dyDescent="0.25">
      <c r="A160">
        <v>27</v>
      </c>
      <c r="B160" t="str">
        <f t="shared" si="4"/>
        <v>25-29</v>
      </c>
      <c r="C160" t="s">
        <v>24</v>
      </c>
      <c r="D160" t="s">
        <v>26</v>
      </c>
      <c r="E160" t="s">
        <v>27</v>
      </c>
      <c r="F160" t="s">
        <v>28</v>
      </c>
      <c r="G160" t="s">
        <v>33</v>
      </c>
      <c r="H160">
        <v>5</v>
      </c>
      <c r="I160" t="s">
        <v>18</v>
      </c>
      <c r="J160">
        <v>12.984999999999999</v>
      </c>
      <c r="K160">
        <v>77.553299999999993</v>
      </c>
      <c r="L160">
        <v>560010</v>
      </c>
      <c r="M160" t="s">
        <v>34</v>
      </c>
      <c r="N160" t="s">
        <v>25</v>
      </c>
      <c r="O160" t="str">
        <f t="shared" si="5"/>
        <v>Churned &amp; Unhappy</v>
      </c>
    </row>
    <row r="161" spans="1:15" x14ac:dyDescent="0.25">
      <c r="A161">
        <v>20</v>
      </c>
      <c r="B161" t="str">
        <f t="shared" si="4"/>
        <v>18-24</v>
      </c>
      <c r="C161" t="s">
        <v>13</v>
      </c>
      <c r="D161" t="s">
        <v>14</v>
      </c>
      <c r="E161" t="s">
        <v>15</v>
      </c>
      <c r="F161" t="s">
        <v>16</v>
      </c>
      <c r="G161" t="s">
        <v>22</v>
      </c>
      <c r="H161">
        <v>2</v>
      </c>
      <c r="I161" t="s">
        <v>23</v>
      </c>
      <c r="J161">
        <v>12.9337</v>
      </c>
      <c r="K161">
        <v>77.59</v>
      </c>
      <c r="L161">
        <v>560011</v>
      </c>
      <c r="M161" t="s">
        <v>19</v>
      </c>
      <c r="N161" t="s">
        <v>20</v>
      </c>
      <c r="O161" t="str">
        <f t="shared" si="5"/>
        <v>Loyal Customer</v>
      </c>
    </row>
    <row r="162" spans="1:15" x14ac:dyDescent="0.25">
      <c r="A162">
        <v>21</v>
      </c>
      <c r="B162" t="str">
        <f t="shared" si="4"/>
        <v>18-24</v>
      </c>
      <c r="C162" t="s">
        <v>24</v>
      </c>
      <c r="D162" t="s">
        <v>14</v>
      </c>
      <c r="E162" t="s">
        <v>15</v>
      </c>
      <c r="F162" t="s">
        <v>16</v>
      </c>
      <c r="G162" t="s">
        <v>22</v>
      </c>
      <c r="H162">
        <v>2</v>
      </c>
      <c r="I162" t="s">
        <v>23</v>
      </c>
      <c r="J162">
        <v>12.9337</v>
      </c>
      <c r="K162">
        <v>77.59</v>
      </c>
      <c r="L162">
        <v>560011</v>
      </c>
      <c r="M162" t="s">
        <v>19</v>
      </c>
      <c r="N162" t="s">
        <v>20</v>
      </c>
      <c r="O162" t="str">
        <f t="shared" si="5"/>
        <v>Loyal Customer</v>
      </c>
    </row>
    <row r="163" spans="1:15" x14ac:dyDescent="0.25">
      <c r="A163">
        <v>26</v>
      </c>
      <c r="B163" t="str">
        <f t="shared" si="4"/>
        <v>25-29</v>
      </c>
      <c r="C163" t="s">
        <v>24</v>
      </c>
      <c r="D163" t="s">
        <v>14</v>
      </c>
      <c r="E163" t="s">
        <v>27</v>
      </c>
      <c r="F163" t="s">
        <v>28</v>
      </c>
      <c r="G163" t="s">
        <v>17</v>
      </c>
      <c r="H163">
        <v>3</v>
      </c>
      <c r="I163" t="s">
        <v>23</v>
      </c>
      <c r="J163">
        <v>12.9337</v>
      </c>
      <c r="K163">
        <v>77.59</v>
      </c>
      <c r="L163">
        <v>560011</v>
      </c>
      <c r="M163" t="s">
        <v>34</v>
      </c>
      <c r="N163" t="s">
        <v>25</v>
      </c>
      <c r="O163" t="str">
        <f t="shared" si="5"/>
        <v>Churned &amp; Unhappy</v>
      </c>
    </row>
    <row r="164" spans="1:15" x14ac:dyDescent="0.25">
      <c r="A164">
        <v>25</v>
      </c>
      <c r="B164" t="str">
        <f t="shared" si="4"/>
        <v>25-29</v>
      </c>
      <c r="C164" t="s">
        <v>24</v>
      </c>
      <c r="D164" t="s">
        <v>14</v>
      </c>
      <c r="E164" t="s">
        <v>27</v>
      </c>
      <c r="F164" t="s">
        <v>30</v>
      </c>
      <c r="G164" t="s">
        <v>22</v>
      </c>
      <c r="H164">
        <v>4</v>
      </c>
      <c r="I164" t="s">
        <v>18</v>
      </c>
      <c r="J164">
        <v>13.0166</v>
      </c>
      <c r="K164">
        <v>77.680400000000006</v>
      </c>
      <c r="L164">
        <v>560016</v>
      </c>
      <c r="M164" t="s">
        <v>19</v>
      </c>
      <c r="N164" t="s">
        <v>20</v>
      </c>
      <c r="O164" t="str">
        <f t="shared" si="5"/>
        <v>Loyal Customer</v>
      </c>
    </row>
    <row r="165" spans="1:15" x14ac:dyDescent="0.25">
      <c r="A165">
        <v>26</v>
      </c>
      <c r="B165" t="str">
        <f t="shared" si="4"/>
        <v>25-29</v>
      </c>
      <c r="C165" t="s">
        <v>24</v>
      </c>
      <c r="D165" t="s">
        <v>14</v>
      </c>
      <c r="E165" t="s">
        <v>27</v>
      </c>
      <c r="F165" t="s">
        <v>31</v>
      </c>
      <c r="G165" t="s">
        <v>17</v>
      </c>
      <c r="H165">
        <v>3</v>
      </c>
      <c r="I165" t="s">
        <v>23</v>
      </c>
      <c r="J165">
        <v>13.013999999999999</v>
      </c>
      <c r="K165">
        <v>77.565799999999996</v>
      </c>
      <c r="L165">
        <v>560012</v>
      </c>
      <c r="M165" t="s">
        <v>19</v>
      </c>
      <c r="N165" t="s">
        <v>20</v>
      </c>
      <c r="O165" t="str">
        <f t="shared" si="5"/>
        <v>Loyal Customer</v>
      </c>
    </row>
    <row r="166" spans="1:15" x14ac:dyDescent="0.25">
      <c r="A166">
        <v>26</v>
      </c>
      <c r="B166" t="str">
        <f t="shared" si="4"/>
        <v>25-29</v>
      </c>
      <c r="C166" t="s">
        <v>13</v>
      </c>
      <c r="D166" t="s">
        <v>26</v>
      </c>
      <c r="E166" t="s">
        <v>27</v>
      </c>
      <c r="F166" t="s">
        <v>31</v>
      </c>
      <c r="G166" t="s">
        <v>22</v>
      </c>
      <c r="H166">
        <v>3</v>
      </c>
      <c r="I166" t="s">
        <v>23</v>
      </c>
      <c r="J166">
        <v>13.013999999999999</v>
      </c>
      <c r="K166">
        <v>77.565799999999996</v>
      </c>
      <c r="L166">
        <v>560012</v>
      </c>
      <c r="M166" t="s">
        <v>19</v>
      </c>
      <c r="N166" t="s">
        <v>20</v>
      </c>
      <c r="O166" t="str">
        <f t="shared" si="5"/>
        <v>Loyal Customer</v>
      </c>
    </row>
    <row r="167" spans="1:15" x14ac:dyDescent="0.25">
      <c r="A167">
        <v>27</v>
      </c>
      <c r="B167" t="str">
        <f t="shared" si="4"/>
        <v>25-29</v>
      </c>
      <c r="C167" t="s">
        <v>24</v>
      </c>
      <c r="D167" t="s">
        <v>14</v>
      </c>
      <c r="E167" t="s">
        <v>27</v>
      </c>
      <c r="F167" t="s">
        <v>28</v>
      </c>
      <c r="G167" t="s">
        <v>33</v>
      </c>
      <c r="H167">
        <v>4</v>
      </c>
      <c r="I167" t="s">
        <v>18</v>
      </c>
      <c r="J167">
        <v>13.0503</v>
      </c>
      <c r="K167">
        <v>77.552899999999994</v>
      </c>
      <c r="L167">
        <v>560013</v>
      </c>
      <c r="M167" t="s">
        <v>34</v>
      </c>
      <c r="N167" t="s">
        <v>20</v>
      </c>
      <c r="O167" t="str">
        <f t="shared" si="5"/>
        <v>Lost Potential</v>
      </c>
    </row>
    <row r="168" spans="1:15" x14ac:dyDescent="0.25">
      <c r="A168">
        <v>27</v>
      </c>
      <c r="B168" t="str">
        <f t="shared" si="4"/>
        <v>25-29</v>
      </c>
      <c r="C168" t="s">
        <v>13</v>
      </c>
      <c r="D168" t="s">
        <v>14</v>
      </c>
      <c r="E168" t="s">
        <v>15</v>
      </c>
      <c r="F168" t="s">
        <v>16</v>
      </c>
      <c r="G168" t="s">
        <v>33</v>
      </c>
      <c r="H168">
        <v>5</v>
      </c>
      <c r="I168" t="s">
        <v>18</v>
      </c>
      <c r="J168">
        <v>13.0503</v>
      </c>
      <c r="K168">
        <v>77.552899999999994</v>
      </c>
      <c r="L168">
        <v>560013</v>
      </c>
      <c r="M168" t="s">
        <v>34</v>
      </c>
      <c r="N168" t="s">
        <v>25</v>
      </c>
      <c r="O168" t="str">
        <f t="shared" si="5"/>
        <v>Churned &amp; Unhappy</v>
      </c>
    </row>
    <row r="169" spans="1:15" x14ac:dyDescent="0.25">
      <c r="A169">
        <v>24</v>
      </c>
      <c r="B169" t="str">
        <f t="shared" si="4"/>
        <v>18-24</v>
      </c>
      <c r="C169" t="s">
        <v>13</v>
      </c>
      <c r="D169" t="s">
        <v>14</v>
      </c>
      <c r="E169" t="s">
        <v>15</v>
      </c>
      <c r="F169" t="s">
        <v>16</v>
      </c>
      <c r="G169" t="s">
        <v>17</v>
      </c>
      <c r="H169">
        <v>5</v>
      </c>
      <c r="I169" t="s">
        <v>18</v>
      </c>
      <c r="J169">
        <v>12.988300000000001</v>
      </c>
      <c r="K169">
        <v>77.598699999999994</v>
      </c>
      <c r="L169">
        <v>560051</v>
      </c>
      <c r="M169" t="s">
        <v>19</v>
      </c>
      <c r="N169" t="s">
        <v>20</v>
      </c>
      <c r="O169" t="str">
        <f t="shared" si="5"/>
        <v>Loyal Customer</v>
      </c>
    </row>
    <row r="170" spans="1:15" x14ac:dyDescent="0.25">
      <c r="A170">
        <v>25</v>
      </c>
      <c r="B170" t="str">
        <f t="shared" si="4"/>
        <v>25-29</v>
      </c>
      <c r="C170" t="s">
        <v>24</v>
      </c>
      <c r="D170" t="s">
        <v>26</v>
      </c>
      <c r="E170" t="s">
        <v>29</v>
      </c>
      <c r="F170" t="s">
        <v>28</v>
      </c>
      <c r="G170" t="s">
        <v>38</v>
      </c>
      <c r="H170">
        <v>2</v>
      </c>
      <c r="I170" t="s">
        <v>23</v>
      </c>
      <c r="J170">
        <v>13.0626</v>
      </c>
      <c r="K170">
        <v>77.528400000000005</v>
      </c>
      <c r="L170">
        <v>560015</v>
      </c>
      <c r="M170" t="s">
        <v>19</v>
      </c>
      <c r="N170" t="s">
        <v>20</v>
      </c>
      <c r="O170" t="str">
        <f t="shared" si="5"/>
        <v>Loyal Customer</v>
      </c>
    </row>
    <row r="171" spans="1:15" x14ac:dyDescent="0.25">
      <c r="A171">
        <v>20</v>
      </c>
      <c r="B171" t="str">
        <f t="shared" si="4"/>
        <v>18-24</v>
      </c>
      <c r="C171" t="s">
        <v>24</v>
      </c>
      <c r="D171" t="s">
        <v>14</v>
      </c>
      <c r="E171" t="s">
        <v>15</v>
      </c>
      <c r="F171" t="s">
        <v>16</v>
      </c>
      <c r="G171" t="s">
        <v>22</v>
      </c>
      <c r="H171">
        <v>2</v>
      </c>
      <c r="I171" t="s">
        <v>23</v>
      </c>
      <c r="J171">
        <v>13.0626</v>
      </c>
      <c r="K171">
        <v>77.528400000000005</v>
      </c>
      <c r="L171">
        <v>560015</v>
      </c>
      <c r="M171" t="s">
        <v>34</v>
      </c>
      <c r="N171" t="s">
        <v>25</v>
      </c>
      <c r="O171" t="str">
        <f t="shared" si="5"/>
        <v>Churned &amp; Unhappy</v>
      </c>
    </row>
    <row r="172" spans="1:15" x14ac:dyDescent="0.25">
      <c r="A172">
        <v>22</v>
      </c>
      <c r="B172" t="str">
        <f t="shared" si="4"/>
        <v>18-24</v>
      </c>
      <c r="C172" t="s">
        <v>24</v>
      </c>
      <c r="D172" t="s">
        <v>14</v>
      </c>
      <c r="E172" t="s">
        <v>15</v>
      </c>
      <c r="F172" t="s">
        <v>16</v>
      </c>
      <c r="G172" t="s">
        <v>17</v>
      </c>
      <c r="H172">
        <v>1</v>
      </c>
      <c r="I172" t="s">
        <v>32</v>
      </c>
      <c r="J172">
        <v>13.0626</v>
      </c>
      <c r="K172">
        <v>77.528400000000005</v>
      </c>
      <c r="L172">
        <v>560015</v>
      </c>
      <c r="M172" t="s">
        <v>19</v>
      </c>
      <c r="N172" t="s">
        <v>20</v>
      </c>
      <c r="O172" t="str">
        <f t="shared" si="5"/>
        <v>Loyal Customer</v>
      </c>
    </row>
    <row r="173" spans="1:15" x14ac:dyDescent="0.25">
      <c r="A173">
        <v>26</v>
      </c>
      <c r="B173" t="str">
        <f t="shared" si="4"/>
        <v>25-29</v>
      </c>
      <c r="C173" t="s">
        <v>13</v>
      </c>
      <c r="D173" t="s">
        <v>26</v>
      </c>
      <c r="E173" t="s">
        <v>15</v>
      </c>
      <c r="F173" t="s">
        <v>21</v>
      </c>
      <c r="G173" t="s">
        <v>33</v>
      </c>
      <c r="H173">
        <v>3</v>
      </c>
      <c r="I173" t="s">
        <v>23</v>
      </c>
      <c r="J173">
        <v>13.0166</v>
      </c>
      <c r="K173">
        <v>77.680400000000006</v>
      </c>
      <c r="L173">
        <v>560016</v>
      </c>
      <c r="M173" t="s">
        <v>19</v>
      </c>
      <c r="N173" t="s">
        <v>20</v>
      </c>
      <c r="O173" t="str">
        <f t="shared" si="5"/>
        <v>Loyal Customer</v>
      </c>
    </row>
    <row r="174" spans="1:15" x14ac:dyDescent="0.25">
      <c r="A174">
        <v>27</v>
      </c>
      <c r="B174" t="str">
        <f t="shared" si="4"/>
        <v>25-29</v>
      </c>
      <c r="C174" t="s">
        <v>24</v>
      </c>
      <c r="D174" t="s">
        <v>35</v>
      </c>
      <c r="E174" t="s">
        <v>27</v>
      </c>
      <c r="F174" t="s">
        <v>31</v>
      </c>
      <c r="G174" t="s">
        <v>17</v>
      </c>
      <c r="H174">
        <v>1</v>
      </c>
      <c r="I174" t="s">
        <v>32</v>
      </c>
      <c r="J174">
        <v>13.0166</v>
      </c>
      <c r="K174">
        <v>77.680400000000006</v>
      </c>
      <c r="L174">
        <v>560016</v>
      </c>
      <c r="M174" t="s">
        <v>19</v>
      </c>
      <c r="N174" t="s">
        <v>20</v>
      </c>
      <c r="O174" t="str">
        <f t="shared" si="5"/>
        <v>Loyal Customer</v>
      </c>
    </row>
    <row r="175" spans="1:15" x14ac:dyDescent="0.25">
      <c r="A175">
        <v>25</v>
      </c>
      <c r="B175" t="str">
        <f t="shared" si="4"/>
        <v>25-29</v>
      </c>
      <c r="C175" t="s">
        <v>13</v>
      </c>
      <c r="D175" t="s">
        <v>14</v>
      </c>
      <c r="E175" t="s">
        <v>15</v>
      </c>
      <c r="F175" t="s">
        <v>16</v>
      </c>
      <c r="G175" t="s">
        <v>17</v>
      </c>
      <c r="H175">
        <v>3</v>
      </c>
      <c r="I175" t="s">
        <v>23</v>
      </c>
      <c r="J175">
        <v>12.9551</v>
      </c>
      <c r="K175">
        <v>77.659300000000002</v>
      </c>
      <c r="L175">
        <v>560017</v>
      </c>
      <c r="M175" t="s">
        <v>19</v>
      </c>
      <c r="N175" t="s">
        <v>20</v>
      </c>
      <c r="O175" t="str">
        <f t="shared" si="5"/>
        <v>Loyal Customer</v>
      </c>
    </row>
    <row r="176" spans="1:15" x14ac:dyDescent="0.25">
      <c r="A176">
        <v>24</v>
      </c>
      <c r="B176" t="str">
        <f t="shared" si="4"/>
        <v>18-24</v>
      </c>
      <c r="C176" t="s">
        <v>24</v>
      </c>
      <c r="D176" t="s">
        <v>14</v>
      </c>
      <c r="E176" t="s">
        <v>27</v>
      </c>
      <c r="F176" t="s">
        <v>21</v>
      </c>
      <c r="G176" t="s">
        <v>22</v>
      </c>
      <c r="H176">
        <v>2</v>
      </c>
      <c r="I176" t="s">
        <v>23</v>
      </c>
      <c r="J176">
        <v>12.9551</v>
      </c>
      <c r="K176">
        <v>77.659300000000002</v>
      </c>
      <c r="L176">
        <v>560017</v>
      </c>
      <c r="M176" t="s">
        <v>19</v>
      </c>
      <c r="N176" t="s">
        <v>20</v>
      </c>
      <c r="O176" t="str">
        <f t="shared" si="5"/>
        <v>Loyal Customer</v>
      </c>
    </row>
    <row r="177" spans="1:15" x14ac:dyDescent="0.25">
      <c r="A177">
        <v>23</v>
      </c>
      <c r="B177" t="str">
        <f t="shared" si="4"/>
        <v>18-24</v>
      </c>
      <c r="C177" t="s">
        <v>13</v>
      </c>
      <c r="D177" t="s">
        <v>14</v>
      </c>
      <c r="E177" t="s">
        <v>27</v>
      </c>
      <c r="F177" t="s">
        <v>30</v>
      </c>
      <c r="G177" t="s">
        <v>22</v>
      </c>
      <c r="H177">
        <v>6</v>
      </c>
      <c r="I177" t="s">
        <v>18</v>
      </c>
      <c r="J177">
        <v>12.9551</v>
      </c>
      <c r="K177">
        <v>77.659300000000002</v>
      </c>
      <c r="L177">
        <v>560017</v>
      </c>
      <c r="M177" t="s">
        <v>19</v>
      </c>
      <c r="N177" t="s">
        <v>20</v>
      </c>
      <c r="O177" t="str">
        <f t="shared" si="5"/>
        <v>Loyal Customer</v>
      </c>
    </row>
    <row r="178" spans="1:15" x14ac:dyDescent="0.25">
      <c r="A178">
        <v>22</v>
      </c>
      <c r="B178" t="str">
        <f t="shared" si="4"/>
        <v>18-24</v>
      </c>
      <c r="C178" t="s">
        <v>24</v>
      </c>
      <c r="D178" t="s">
        <v>14</v>
      </c>
      <c r="E178" t="s">
        <v>15</v>
      </c>
      <c r="F178" t="s">
        <v>16</v>
      </c>
      <c r="G178" t="s">
        <v>22</v>
      </c>
      <c r="H178">
        <v>2</v>
      </c>
      <c r="I178" t="s">
        <v>23</v>
      </c>
      <c r="J178">
        <v>12.957000000000001</v>
      </c>
      <c r="K178">
        <v>77.563699999999997</v>
      </c>
      <c r="L178">
        <v>560018</v>
      </c>
      <c r="M178" t="s">
        <v>34</v>
      </c>
      <c r="N178" t="s">
        <v>20</v>
      </c>
      <c r="O178" t="str">
        <f t="shared" si="5"/>
        <v>Lost Potential</v>
      </c>
    </row>
    <row r="179" spans="1:15" x14ac:dyDescent="0.25">
      <c r="A179">
        <v>26</v>
      </c>
      <c r="B179" t="str">
        <f t="shared" si="4"/>
        <v>25-29</v>
      </c>
      <c r="C179" t="s">
        <v>24</v>
      </c>
      <c r="D179" t="s">
        <v>26</v>
      </c>
      <c r="E179" t="s">
        <v>29</v>
      </c>
      <c r="F179" t="s">
        <v>28</v>
      </c>
      <c r="G179" t="s">
        <v>17</v>
      </c>
      <c r="H179">
        <v>3</v>
      </c>
      <c r="I179" t="s">
        <v>23</v>
      </c>
      <c r="J179">
        <v>12.957000000000001</v>
      </c>
      <c r="K179">
        <v>77.563699999999997</v>
      </c>
      <c r="L179">
        <v>560018</v>
      </c>
      <c r="M179" t="s">
        <v>34</v>
      </c>
      <c r="N179" t="s">
        <v>25</v>
      </c>
      <c r="O179" t="str">
        <f t="shared" si="5"/>
        <v>Churned &amp; Unhappy</v>
      </c>
    </row>
    <row r="180" spans="1:15" x14ac:dyDescent="0.25">
      <c r="A180">
        <v>26</v>
      </c>
      <c r="B180" t="str">
        <f t="shared" si="4"/>
        <v>25-29</v>
      </c>
      <c r="C180" t="s">
        <v>24</v>
      </c>
      <c r="D180" t="s">
        <v>14</v>
      </c>
      <c r="E180" t="s">
        <v>27</v>
      </c>
      <c r="F180" t="s">
        <v>21</v>
      </c>
      <c r="G180" t="s">
        <v>17</v>
      </c>
      <c r="H180">
        <v>1</v>
      </c>
      <c r="I180" t="s">
        <v>32</v>
      </c>
      <c r="J180">
        <v>12.957000000000001</v>
      </c>
      <c r="K180">
        <v>77.563699999999997</v>
      </c>
      <c r="L180">
        <v>560018</v>
      </c>
      <c r="M180" t="s">
        <v>19</v>
      </c>
      <c r="N180" t="s">
        <v>25</v>
      </c>
      <c r="O180" t="str">
        <f t="shared" si="5"/>
        <v>Churned &amp; Unhappy</v>
      </c>
    </row>
    <row r="181" spans="1:15" x14ac:dyDescent="0.25">
      <c r="A181">
        <v>25</v>
      </c>
      <c r="B181" t="str">
        <f t="shared" si="4"/>
        <v>25-29</v>
      </c>
      <c r="C181" t="s">
        <v>13</v>
      </c>
      <c r="D181" t="s">
        <v>26</v>
      </c>
      <c r="E181" t="s">
        <v>29</v>
      </c>
      <c r="F181" t="s">
        <v>31</v>
      </c>
      <c r="G181" t="s">
        <v>17</v>
      </c>
      <c r="H181">
        <v>3</v>
      </c>
      <c r="I181" t="s">
        <v>23</v>
      </c>
      <c r="J181">
        <v>12.957000000000001</v>
      </c>
      <c r="K181">
        <v>77.563699999999997</v>
      </c>
      <c r="L181">
        <v>560018</v>
      </c>
      <c r="M181" t="s">
        <v>34</v>
      </c>
      <c r="N181" t="s">
        <v>20</v>
      </c>
      <c r="O181" t="str">
        <f t="shared" si="5"/>
        <v>Lost Potential</v>
      </c>
    </row>
    <row r="182" spans="1:15" x14ac:dyDescent="0.25">
      <c r="A182">
        <v>29</v>
      </c>
      <c r="B182" t="str">
        <f t="shared" si="4"/>
        <v>25-29</v>
      </c>
      <c r="C182" t="s">
        <v>13</v>
      </c>
      <c r="D182" t="s">
        <v>26</v>
      </c>
      <c r="E182" t="s">
        <v>27</v>
      </c>
      <c r="F182" t="s">
        <v>28</v>
      </c>
      <c r="G182" t="s">
        <v>22</v>
      </c>
      <c r="H182">
        <v>3</v>
      </c>
      <c r="I182" t="s">
        <v>23</v>
      </c>
      <c r="J182">
        <v>12.957000000000001</v>
      </c>
      <c r="K182">
        <v>77.563699999999997</v>
      </c>
      <c r="L182">
        <v>560018</v>
      </c>
      <c r="M182" t="s">
        <v>34</v>
      </c>
      <c r="N182" t="s">
        <v>20</v>
      </c>
      <c r="O182" t="str">
        <f t="shared" si="5"/>
        <v>Lost Potential</v>
      </c>
    </row>
    <row r="183" spans="1:15" x14ac:dyDescent="0.25">
      <c r="A183">
        <v>23</v>
      </c>
      <c r="B183" t="str">
        <f t="shared" si="4"/>
        <v>18-24</v>
      </c>
      <c r="C183" t="s">
        <v>24</v>
      </c>
      <c r="D183" t="s">
        <v>14</v>
      </c>
      <c r="E183" t="s">
        <v>15</v>
      </c>
      <c r="F183" t="s">
        <v>21</v>
      </c>
      <c r="G183" t="s">
        <v>22</v>
      </c>
      <c r="H183">
        <v>3</v>
      </c>
      <c r="I183" t="s">
        <v>23</v>
      </c>
      <c r="J183">
        <v>12.8652</v>
      </c>
      <c r="K183">
        <v>77.524000000000001</v>
      </c>
      <c r="L183">
        <v>560109</v>
      </c>
      <c r="M183" t="s">
        <v>19</v>
      </c>
      <c r="N183" t="s">
        <v>25</v>
      </c>
      <c r="O183" t="str">
        <f t="shared" si="5"/>
        <v>Churned &amp; Unhappy</v>
      </c>
    </row>
    <row r="184" spans="1:15" x14ac:dyDescent="0.25">
      <c r="A184">
        <v>22</v>
      </c>
      <c r="B184" t="str">
        <f t="shared" si="4"/>
        <v>18-24</v>
      </c>
      <c r="C184" t="s">
        <v>13</v>
      </c>
      <c r="D184" t="s">
        <v>14</v>
      </c>
      <c r="E184" t="s">
        <v>27</v>
      </c>
      <c r="F184" t="s">
        <v>31</v>
      </c>
      <c r="G184" t="s">
        <v>22</v>
      </c>
      <c r="H184">
        <v>4</v>
      </c>
      <c r="I184" t="s">
        <v>18</v>
      </c>
      <c r="J184">
        <v>12.969799999999999</v>
      </c>
      <c r="K184">
        <v>77.75</v>
      </c>
      <c r="L184">
        <v>560066</v>
      </c>
      <c r="M184" t="s">
        <v>19</v>
      </c>
      <c r="N184" t="s">
        <v>20</v>
      </c>
      <c r="O184" t="str">
        <f t="shared" si="5"/>
        <v>Loyal Customer</v>
      </c>
    </row>
    <row r="185" spans="1:15" x14ac:dyDescent="0.25">
      <c r="A185">
        <v>22</v>
      </c>
      <c r="B185" t="str">
        <f t="shared" si="4"/>
        <v>18-24</v>
      </c>
      <c r="C185" t="s">
        <v>24</v>
      </c>
      <c r="D185" t="s">
        <v>14</v>
      </c>
      <c r="E185" t="s">
        <v>15</v>
      </c>
      <c r="F185" t="s">
        <v>16</v>
      </c>
      <c r="G185" t="s">
        <v>22</v>
      </c>
      <c r="H185">
        <v>2</v>
      </c>
      <c r="I185" t="s">
        <v>23</v>
      </c>
      <c r="J185">
        <v>12.988899999999999</v>
      </c>
      <c r="K185">
        <v>77.574100000000001</v>
      </c>
      <c r="L185">
        <v>560020</v>
      </c>
      <c r="M185" t="s">
        <v>34</v>
      </c>
      <c r="N185" t="s">
        <v>20</v>
      </c>
      <c r="O185" t="str">
        <f t="shared" si="5"/>
        <v>Lost Potential</v>
      </c>
    </row>
    <row r="186" spans="1:15" x14ac:dyDescent="0.25">
      <c r="A186">
        <v>32</v>
      </c>
      <c r="B186" t="str">
        <f t="shared" si="4"/>
        <v>30-33</v>
      </c>
      <c r="C186" t="s">
        <v>13</v>
      </c>
      <c r="D186" t="s">
        <v>26</v>
      </c>
      <c r="E186" t="s">
        <v>36</v>
      </c>
      <c r="F186" t="s">
        <v>16</v>
      </c>
      <c r="G186" t="s">
        <v>38</v>
      </c>
      <c r="H186">
        <v>5</v>
      </c>
      <c r="I186" t="s">
        <v>18</v>
      </c>
      <c r="J186">
        <v>12.988899999999999</v>
      </c>
      <c r="K186">
        <v>77.574100000000001</v>
      </c>
      <c r="L186">
        <v>560020</v>
      </c>
      <c r="M186" t="s">
        <v>19</v>
      </c>
      <c r="N186" t="s">
        <v>20</v>
      </c>
      <c r="O186" t="str">
        <f t="shared" si="5"/>
        <v>Loyal Customer</v>
      </c>
    </row>
    <row r="187" spans="1:15" x14ac:dyDescent="0.25">
      <c r="A187">
        <v>28</v>
      </c>
      <c r="B187" t="str">
        <f t="shared" si="4"/>
        <v>25-29</v>
      </c>
      <c r="C187" t="s">
        <v>24</v>
      </c>
      <c r="D187" t="s">
        <v>26</v>
      </c>
      <c r="E187" t="s">
        <v>27</v>
      </c>
      <c r="F187" t="s">
        <v>28</v>
      </c>
      <c r="G187" t="s">
        <v>17</v>
      </c>
      <c r="H187">
        <v>1</v>
      </c>
      <c r="I187" t="s">
        <v>32</v>
      </c>
      <c r="J187">
        <v>12.9925</v>
      </c>
      <c r="K187">
        <v>77.563299999999998</v>
      </c>
      <c r="L187">
        <v>560021</v>
      </c>
      <c r="M187" t="s">
        <v>19</v>
      </c>
      <c r="N187" t="s">
        <v>20</v>
      </c>
      <c r="O187" t="str">
        <f t="shared" si="5"/>
        <v>Loyal Customer</v>
      </c>
    </row>
    <row r="188" spans="1:15" x14ac:dyDescent="0.25">
      <c r="A188">
        <v>22</v>
      </c>
      <c r="B188" t="str">
        <f t="shared" si="4"/>
        <v>18-24</v>
      </c>
      <c r="C188" t="s">
        <v>24</v>
      </c>
      <c r="D188" t="s">
        <v>14</v>
      </c>
      <c r="E188" t="s">
        <v>15</v>
      </c>
      <c r="F188" t="s">
        <v>16</v>
      </c>
      <c r="G188" t="s">
        <v>17</v>
      </c>
      <c r="H188">
        <v>2</v>
      </c>
      <c r="I188" t="s">
        <v>23</v>
      </c>
      <c r="J188">
        <v>12.977</v>
      </c>
      <c r="K188">
        <v>77.577299999999994</v>
      </c>
      <c r="L188">
        <v>560009</v>
      </c>
      <c r="M188" t="s">
        <v>19</v>
      </c>
      <c r="N188" t="s">
        <v>20</v>
      </c>
      <c r="O188" t="str">
        <f t="shared" si="5"/>
        <v>Loyal Customer</v>
      </c>
    </row>
    <row r="189" spans="1:15" x14ac:dyDescent="0.25">
      <c r="A189">
        <v>25</v>
      </c>
      <c r="B189" t="str">
        <f t="shared" si="4"/>
        <v>25-29</v>
      </c>
      <c r="C189" t="s">
        <v>24</v>
      </c>
      <c r="D189" t="s">
        <v>14</v>
      </c>
      <c r="E189" t="s">
        <v>27</v>
      </c>
      <c r="F189" t="s">
        <v>30</v>
      </c>
      <c r="G189" t="s">
        <v>22</v>
      </c>
      <c r="H189">
        <v>2</v>
      </c>
      <c r="I189" t="s">
        <v>23</v>
      </c>
      <c r="J189">
        <v>12.9757</v>
      </c>
      <c r="K189">
        <v>77.558599999999998</v>
      </c>
      <c r="L189">
        <v>560023</v>
      </c>
      <c r="M189" t="s">
        <v>19</v>
      </c>
      <c r="N189" t="s">
        <v>20</v>
      </c>
      <c r="O189" t="str">
        <f t="shared" si="5"/>
        <v>Loyal Customer</v>
      </c>
    </row>
    <row r="190" spans="1:15" x14ac:dyDescent="0.25">
      <c r="A190">
        <v>26</v>
      </c>
      <c r="B190" t="str">
        <f t="shared" si="4"/>
        <v>25-29</v>
      </c>
      <c r="C190" t="s">
        <v>13</v>
      </c>
      <c r="D190" t="s">
        <v>26</v>
      </c>
      <c r="E190" t="s">
        <v>27</v>
      </c>
      <c r="F190" t="s">
        <v>31</v>
      </c>
      <c r="G190" t="s">
        <v>17</v>
      </c>
      <c r="H190">
        <v>2</v>
      </c>
      <c r="I190" t="s">
        <v>23</v>
      </c>
      <c r="J190">
        <v>12.9757</v>
      </c>
      <c r="K190">
        <v>77.558599999999998</v>
      </c>
      <c r="L190">
        <v>560023</v>
      </c>
      <c r="M190" t="s">
        <v>34</v>
      </c>
      <c r="N190" t="s">
        <v>25</v>
      </c>
      <c r="O190" t="str">
        <f t="shared" si="5"/>
        <v>Churned &amp; Unhappy</v>
      </c>
    </row>
    <row r="191" spans="1:15" x14ac:dyDescent="0.25">
      <c r="A191">
        <v>31</v>
      </c>
      <c r="B191" t="str">
        <f t="shared" si="4"/>
        <v>30-33</v>
      </c>
      <c r="C191" t="s">
        <v>24</v>
      </c>
      <c r="D191" t="s">
        <v>26</v>
      </c>
      <c r="E191" t="s">
        <v>29</v>
      </c>
      <c r="F191" t="s">
        <v>28</v>
      </c>
      <c r="G191" t="s">
        <v>38</v>
      </c>
      <c r="H191">
        <v>6</v>
      </c>
      <c r="I191" t="s">
        <v>18</v>
      </c>
      <c r="J191">
        <v>13.0487</v>
      </c>
      <c r="K191">
        <v>77.592299999999994</v>
      </c>
      <c r="L191">
        <v>560024</v>
      </c>
      <c r="M191" t="s">
        <v>19</v>
      </c>
      <c r="N191" t="s">
        <v>20</v>
      </c>
      <c r="O191" t="str">
        <f t="shared" si="5"/>
        <v>Loyal Customer</v>
      </c>
    </row>
    <row r="192" spans="1:15" x14ac:dyDescent="0.25">
      <c r="A192">
        <v>24</v>
      </c>
      <c r="B192" t="str">
        <f t="shared" si="4"/>
        <v>18-24</v>
      </c>
      <c r="C192" t="s">
        <v>24</v>
      </c>
      <c r="D192" t="s">
        <v>14</v>
      </c>
      <c r="E192" t="s">
        <v>15</v>
      </c>
      <c r="F192" t="s">
        <v>16</v>
      </c>
      <c r="G192" t="s">
        <v>17</v>
      </c>
      <c r="H192">
        <v>3</v>
      </c>
      <c r="I192" t="s">
        <v>23</v>
      </c>
      <c r="J192">
        <v>13.0487</v>
      </c>
      <c r="K192">
        <v>77.592299999999994</v>
      </c>
      <c r="L192">
        <v>560024</v>
      </c>
      <c r="M192" t="s">
        <v>34</v>
      </c>
      <c r="N192" t="s">
        <v>25</v>
      </c>
      <c r="O192" t="str">
        <f t="shared" si="5"/>
        <v>Churned &amp; Unhappy</v>
      </c>
    </row>
    <row r="193" spans="1:15" x14ac:dyDescent="0.25">
      <c r="A193">
        <v>24</v>
      </c>
      <c r="B193" t="str">
        <f t="shared" si="4"/>
        <v>18-24</v>
      </c>
      <c r="C193" t="s">
        <v>24</v>
      </c>
      <c r="D193" t="s">
        <v>14</v>
      </c>
      <c r="E193" t="s">
        <v>27</v>
      </c>
      <c r="F193" t="s">
        <v>31</v>
      </c>
      <c r="G193" t="s">
        <v>17</v>
      </c>
      <c r="H193">
        <v>2</v>
      </c>
      <c r="I193" t="s">
        <v>23</v>
      </c>
      <c r="J193">
        <v>12.966200000000001</v>
      </c>
      <c r="K193">
        <v>77.606800000000007</v>
      </c>
      <c r="L193">
        <v>560025</v>
      </c>
      <c r="M193" t="s">
        <v>19</v>
      </c>
      <c r="N193" t="s">
        <v>20</v>
      </c>
      <c r="O193" t="str">
        <f t="shared" si="5"/>
        <v>Loyal Customer</v>
      </c>
    </row>
    <row r="194" spans="1:15" x14ac:dyDescent="0.25">
      <c r="A194">
        <v>31</v>
      </c>
      <c r="B194" t="str">
        <f t="shared" si="4"/>
        <v>30-33</v>
      </c>
      <c r="C194" t="s">
        <v>13</v>
      </c>
      <c r="D194" t="s">
        <v>26</v>
      </c>
      <c r="E194" t="s">
        <v>27</v>
      </c>
      <c r="F194" t="s">
        <v>28</v>
      </c>
      <c r="G194" t="s">
        <v>33</v>
      </c>
      <c r="H194">
        <v>5</v>
      </c>
      <c r="I194" t="s">
        <v>18</v>
      </c>
      <c r="J194">
        <v>12.966200000000001</v>
      </c>
      <c r="K194">
        <v>77.606800000000007</v>
      </c>
      <c r="L194">
        <v>560025</v>
      </c>
      <c r="M194" t="s">
        <v>19</v>
      </c>
      <c r="N194" t="s">
        <v>20</v>
      </c>
      <c r="O194" t="str">
        <f t="shared" si="5"/>
        <v>Loyal Customer</v>
      </c>
    </row>
    <row r="195" spans="1:15" x14ac:dyDescent="0.25">
      <c r="A195">
        <v>26</v>
      </c>
      <c r="B195" t="str">
        <f t="shared" ref="B195:B258" si="6">IF(A195&lt;18, "Under 18", IF(A195&lt;=24, "18-24", IF(A195&lt;=29, "25-29", IF(A195&lt;=33, "30-33", "34+"))))</f>
        <v>25-29</v>
      </c>
      <c r="C195" t="s">
        <v>24</v>
      </c>
      <c r="D195" t="s">
        <v>14</v>
      </c>
      <c r="E195" t="s">
        <v>27</v>
      </c>
      <c r="F195" t="s">
        <v>31</v>
      </c>
      <c r="G195" t="s">
        <v>22</v>
      </c>
      <c r="H195">
        <v>2</v>
      </c>
      <c r="I195" t="s">
        <v>23</v>
      </c>
      <c r="J195">
        <v>12.9343</v>
      </c>
      <c r="K195">
        <v>77.604399999999998</v>
      </c>
      <c r="L195">
        <v>560029</v>
      </c>
      <c r="M195" t="s">
        <v>19</v>
      </c>
      <c r="N195" t="s">
        <v>20</v>
      </c>
      <c r="O195" t="str">
        <f t="shared" ref="O195:O258" si="7">IF(AND(M195="Yes",N195="Positive"),"Loyal Customer",
 IF(AND(M195="Yes",N195="Negative"),"At Risk",
 IF(AND(M195="No",N195="Positive"),"Lost Potential","Churned &amp; Unhappy")))</f>
        <v>Loyal Customer</v>
      </c>
    </row>
    <row r="196" spans="1:15" x14ac:dyDescent="0.25">
      <c r="A196">
        <v>24</v>
      </c>
      <c r="B196" t="str">
        <f t="shared" si="6"/>
        <v>18-24</v>
      </c>
      <c r="C196" t="s">
        <v>13</v>
      </c>
      <c r="D196" t="s">
        <v>26</v>
      </c>
      <c r="E196" t="s">
        <v>29</v>
      </c>
      <c r="F196" t="s">
        <v>28</v>
      </c>
      <c r="G196" t="s">
        <v>22</v>
      </c>
      <c r="H196">
        <v>2</v>
      </c>
      <c r="I196" t="s">
        <v>23</v>
      </c>
      <c r="J196">
        <v>12.9343</v>
      </c>
      <c r="K196">
        <v>77.604399999999998</v>
      </c>
      <c r="L196">
        <v>560029</v>
      </c>
      <c r="M196" t="s">
        <v>19</v>
      </c>
      <c r="N196" t="s">
        <v>20</v>
      </c>
      <c r="O196" t="str">
        <f t="shared" si="7"/>
        <v>Loyal Customer</v>
      </c>
    </row>
    <row r="197" spans="1:15" x14ac:dyDescent="0.25">
      <c r="A197">
        <v>22</v>
      </c>
      <c r="B197" t="str">
        <f t="shared" si="6"/>
        <v>18-24</v>
      </c>
      <c r="C197" t="s">
        <v>13</v>
      </c>
      <c r="D197" t="s">
        <v>14</v>
      </c>
      <c r="E197" t="s">
        <v>15</v>
      </c>
      <c r="F197" t="s">
        <v>16</v>
      </c>
      <c r="G197" t="s">
        <v>22</v>
      </c>
      <c r="H197">
        <v>3</v>
      </c>
      <c r="I197" t="s">
        <v>23</v>
      </c>
      <c r="J197">
        <v>12.9343</v>
      </c>
      <c r="K197">
        <v>77.604399999999998</v>
      </c>
      <c r="L197">
        <v>560029</v>
      </c>
      <c r="M197" t="s">
        <v>19</v>
      </c>
      <c r="N197" t="s">
        <v>20</v>
      </c>
      <c r="O197" t="str">
        <f t="shared" si="7"/>
        <v>Loyal Customer</v>
      </c>
    </row>
    <row r="198" spans="1:15" x14ac:dyDescent="0.25">
      <c r="A198">
        <v>19</v>
      </c>
      <c r="B198" t="str">
        <f t="shared" si="6"/>
        <v>18-24</v>
      </c>
      <c r="C198" t="s">
        <v>24</v>
      </c>
      <c r="D198" t="s">
        <v>14</v>
      </c>
      <c r="E198" t="s">
        <v>15</v>
      </c>
      <c r="F198" t="s">
        <v>16</v>
      </c>
      <c r="G198" t="s">
        <v>22</v>
      </c>
      <c r="H198">
        <v>6</v>
      </c>
      <c r="I198" t="s">
        <v>18</v>
      </c>
      <c r="J198">
        <v>12.9442</v>
      </c>
      <c r="K198">
        <v>77.607600000000005</v>
      </c>
      <c r="L198">
        <v>560030</v>
      </c>
      <c r="M198" t="s">
        <v>19</v>
      </c>
      <c r="N198" t="s">
        <v>20</v>
      </c>
      <c r="O198" t="str">
        <f t="shared" si="7"/>
        <v>Loyal Customer</v>
      </c>
    </row>
    <row r="199" spans="1:15" x14ac:dyDescent="0.25">
      <c r="A199">
        <v>25</v>
      </c>
      <c r="B199" t="str">
        <f t="shared" si="6"/>
        <v>25-29</v>
      </c>
      <c r="C199" t="s">
        <v>24</v>
      </c>
      <c r="D199" t="s">
        <v>26</v>
      </c>
      <c r="E199" t="s">
        <v>27</v>
      </c>
      <c r="F199" t="s">
        <v>28</v>
      </c>
      <c r="G199" t="s">
        <v>17</v>
      </c>
      <c r="H199">
        <v>6</v>
      </c>
      <c r="I199" t="s">
        <v>18</v>
      </c>
      <c r="J199">
        <v>12.9442</v>
      </c>
      <c r="K199">
        <v>77.607600000000005</v>
      </c>
      <c r="L199">
        <v>560030</v>
      </c>
      <c r="M199" t="s">
        <v>19</v>
      </c>
      <c r="N199" t="s">
        <v>20</v>
      </c>
      <c r="O199" t="str">
        <f t="shared" si="7"/>
        <v>Loyal Customer</v>
      </c>
    </row>
    <row r="200" spans="1:15" x14ac:dyDescent="0.25">
      <c r="A200">
        <v>23</v>
      </c>
      <c r="B200" t="str">
        <f t="shared" si="6"/>
        <v>18-24</v>
      </c>
      <c r="C200" t="s">
        <v>13</v>
      </c>
      <c r="D200" t="s">
        <v>26</v>
      </c>
      <c r="E200" t="s">
        <v>36</v>
      </c>
      <c r="F200" t="s">
        <v>16</v>
      </c>
      <c r="G200" t="s">
        <v>38</v>
      </c>
      <c r="H200">
        <v>6</v>
      </c>
      <c r="I200" t="s">
        <v>18</v>
      </c>
      <c r="J200">
        <v>12.9442</v>
      </c>
      <c r="K200">
        <v>77.607600000000005</v>
      </c>
      <c r="L200">
        <v>560030</v>
      </c>
      <c r="M200" t="s">
        <v>19</v>
      </c>
      <c r="N200" t="s">
        <v>20</v>
      </c>
      <c r="O200" t="str">
        <f t="shared" si="7"/>
        <v>Loyal Customer</v>
      </c>
    </row>
    <row r="201" spans="1:15" x14ac:dyDescent="0.25">
      <c r="A201">
        <v>23</v>
      </c>
      <c r="B201" t="str">
        <f t="shared" si="6"/>
        <v>18-24</v>
      </c>
      <c r="C201" t="s">
        <v>13</v>
      </c>
      <c r="D201" t="s">
        <v>14</v>
      </c>
      <c r="E201" t="s">
        <v>15</v>
      </c>
      <c r="F201" t="s">
        <v>16</v>
      </c>
      <c r="G201" t="s">
        <v>22</v>
      </c>
      <c r="H201">
        <v>2</v>
      </c>
      <c r="I201" t="s">
        <v>23</v>
      </c>
      <c r="J201">
        <v>13.0298</v>
      </c>
      <c r="K201">
        <v>77.604699999999994</v>
      </c>
      <c r="L201">
        <v>560032</v>
      </c>
      <c r="M201" t="s">
        <v>34</v>
      </c>
      <c r="N201" t="s">
        <v>25</v>
      </c>
      <c r="O201" t="str">
        <f t="shared" si="7"/>
        <v>Churned &amp; Unhappy</v>
      </c>
    </row>
    <row r="202" spans="1:15" x14ac:dyDescent="0.25">
      <c r="A202">
        <v>23</v>
      </c>
      <c r="B202" t="str">
        <f t="shared" si="6"/>
        <v>18-24</v>
      </c>
      <c r="C202" t="s">
        <v>24</v>
      </c>
      <c r="D202" t="s">
        <v>14</v>
      </c>
      <c r="E202" t="s">
        <v>15</v>
      </c>
      <c r="F202" t="s">
        <v>16</v>
      </c>
      <c r="G202" t="s">
        <v>17</v>
      </c>
      <c r="H202">
        <v>2</v>
      </c>
      <c r="I202" t="s">
        <v>23</v>
      </c>
      <c r="J202">
        <v>12.9261</v>
      </c>
      <c r="K202">
        <v>77.622100000000003</v>
      </c>
      <c r="L202">
        <v>560034</v>
      </c>
      <c r="M202" t="s">
        <v>19</v>
      </c>
      <c r="N202" t="s">
        <v>20</v>
      </c>
      <c r="O202" t="str">
        <f t="shared" si="7"/>
        <v>Loyal Customer</v>
      </c>
    </row>
    <row r="203" spans="1:15" x14ac:dyDescent="0.25">
      <c r="A203">
        <v>24</v>
      </c>
      <c r="B203" t="str">
        <f t="shared" si="6"/>
        <v>18-24</v>
      </c>
      <c r="C203" t="s">
        <v>24</v>
      </c>
      <c r="D203" t="s">
        <v>14</v>
      </c>
      <c r="E203" t="s">
        <v>15</v>
      </c>
      <c r="F203" t="s">
        <v>16</v>
      </c>
      <c r="G203" t="s">
        <v>17</v>
      </c>
      <c r="H203">
        <v>5</v>
      </c>
      <c r="I203" t="s">
        <v>18</v>
      </c>
      <c r="J203">
        <v>12.9621</v>
      </c>
      <c r="K203">
        <v>77.537599999999998</v>
      </c>
      <c r="L203">
        <v>560104</v>
      </c>
      <c r="M203" t="s">
        <v>19</v>
      </c>
      <c r="N203" t="s">
        <v>20</v>
      </c>
      <c r="O203" t="str">
        <f t="shared" si="7"/>
        <v>Loyal Customer</v>
      </c>
    </row>
    <row r="204" spans="1:15" x14ac:dyDescent="0.25">
      <c r="A204">
        <v>22</v>
      </c>
      <c r="B204" t="str">
        <f t="shared" si="6"/>
        <v>18-24</v>
      </c>
      <c r="C204" t="s">
        <v>13</v>
      </c>
      <c r="D204" t="s">
        <v>14</v>
      </c>
      <c r="E204" t="s">
        <v>27</v>
      </c>
      <c r="F204" t="s">
        <v>31</v>
      </c>
      <c r="G204" t="s">
        <v>22</v>
      </c>
      <c r="H204">
        <v>4</v>
      </c>
      <c r="I204" t="s">
        <v>18</v>
      </c>
      <c r="J204">
        <v>12.884499999999999</v>
      </c>
      <c r="K204">
        <v>77.6036</v>
      </c>
      <c r="L204">
        <v>560076</v>
      </c>
      <c r="M204" t="s">
        <v>19</v>
      </c>
      <c r="N204" t="s">
        <v>20</v>
      </c>
      <c r="O204" t="str">
        <f t="shared" si="7"/>
        <v>Loyal Customer</v>
      </c>
    </row>
    <row r="205" spans="1:15" x14ac:dyDescent="0.25">
      <c r="A205">
        <v>26</v>
      </c>
      <c r="B205" t="str">
        <f t="shared" si="6"/>
        <v>25-29</v>
      </c>
      <c r="C205" t="s">
        <v>24</v>
      </c>
      <c r="D205" t="s">
        <v>26</v>
      </c>
      <c r="E205" t="s">
        <v>27</v>
      </c>
      <c r="F205" t="s">
        <v>28</v>
      </c>
      <c r="G205" t="s">
        <v>22</v>
      </c>
      <c r="H205">
        <v>4</v>
      </c>
      <c r="I205" t="s">
        <v>18</v>
      </c>
      <c r="J205">
        <v>12.9048</v>
      </c>
      <c r="K205">
        <v>77.682100000000005</v>
      </c>
      <c r="L205">
        <v>560036</v>
      </c>
      <c r="M205" t="s">
        <v>19</v>
      </c>
      <c r="N205" t="s">
        <v>20</v>
      </c>
      <c r="O205" t="str">
        <f t="shared" si="7"/>
        <v>Loyal Customer</v>
      </c>
    </row>
    <row r="206" spans="1:15" x14ac:dyDescent="0.25">
      <c r="A206">
        <v>25</v>
      </c>
      <c r="B206" t="str">
        <f t="shared" si="6"/>
        <v>25-29</v>
      </c>
      <c r="C206" t="s">
        <v>13</v>
      </c>
      <c r="D206" t="s">
        <v>14</v>
      </c>
      <c r="E206" t="s">
        <v>15</v>
      </c>
      <c r="F206" t="s">
        <v>16</v>
      </c>
      <c r="G206" t="s">
        <v>33</v>
      </c>
      <c r="H206">
        <v>3</v>
      </c>
      <c r="I206" t="s">
        <v>23</v>
      </c>
      <c r="J206">
        <v>12.9048</v>
      </c>
      <c r="K206">
        <v>77.682100000000005</v>
      </c>
      <c r="L206">
        <v>560036</v>
      </c>
      <c r="M206" t="s">
        <v>19</v>
      </c>
      <c r="N206" t="s">
        <v>20</v>
      </c>
      <c r="O206" t="str">
        <f t="shared" si="7"/>
        <v>Loyal Customer</v>
      </c>
    </row>
    <row r="207" spans="1:15" x14ac:dyDescent="0.25">
      <c r="A207">
        <v>20</v>
      </c>
      <c r="B207" t="str">
        <f t="shared" si="6"/>
        <v>18-24</v>
      </c>
      <c r="C207" t="s">
        <v>24</v>
      </c>
      <c r="D207" t="s">
        <v>14</v>
      </c>
      <c r="E207" t="s">
        <v>15</v>
      </c>
      <c r="F207" t="s">
        <v>16</v>
      </c>
      <c r="G207" t="s">
        <v>22</v>
      </c>
      <c r="H207">
        <v>2</v>
      </c>
      <c r="I207" t="s">
        <v>23</v>
      </c>
      <c r="J207">
        <v>12.9261</v>
      </c>
      <c r="K207">
        <v>77.622100000000003</v>
      </c>
      <c r="L207">
        <v>560034</v>
      </c>
      <c r="M207" t="s">
        <v>19</v>
      </c>
      <c r="N207" t="s">
        <v>20</v>
      </c>
      <c r="O207" t="str">
        <f t="shared" si="7"/>
        <v>Loyal Customer</v>
      </c>
    </row>
    <row r="208" spans="1:15" x14ac:dyDescent="0.25">
      <c r="A208">
        <v>29</v>
      </c>
      <c r="B208" t="str">
        <f t="shared" si="6"/>
        <v>25-29</v>
      </c>
      <c r="C208" t="s">
        <v>24</v>
      </c>
      <c r="D208" t="s">
        <v>26</v>
      </c>
      <c r="E208" t="s">
        <v>27</v>
      </c>
      <c r="F208" t="s">
        <v>31</v>
      </c>
      <c r="G208" t="s">
        <v>22</v>
      </c>
      <c r="H208">
        <v>4</v>
      </c>
      <c r="I208" t="s">
        <v>18</v>
      </c>
      <c r="J208">
        <v>12.9261</v>
      </c>
      <c r="K208">
        <v>77.622100000000003</v>
      </c>
      <c r="L208">
        <v>560034</v>
      </c>
      <c r="M208" t="s">
        <v>34</v>
      </c>
      <c r="N208" t="s">
        <v>25</v>
      </c>
      <c r="O208" t="str">
        <f t="shared" si="7"/>
        <v>Churned &amp; Unhappy</v>
      </c>
    </row>
    <row r="209" spans="1:15" x14ac:dyDescent="0.25">
      <c r="A209">
        <v>23</v>
      </c>
      <c r="B209" t="str">
        <f t="shared" si="6"/>
        <v>18-24</v>
      </c>
      <c r="C209" t="s">
        <v>13</v>
      </c>
      <c r="D209" t="s">
        <v>14</v>
      </c>
      <c r="E209" t="s">
        <v>15</v>
      </c>
      <c r="F209" t="s">
        <v>16</v>
      </c>
      <c r="G209" t="s">
        <v>22</v>
      </c>
      <c r="H209">
        <v>1</v>
      </c>
      <c r="I209" t="s">
        <v>32</v>
      </c>
      <c r="J209">
        <v>12.977</v>
      </c>
      <c r="K209">
        <v>77.577299999999994</v>
      </c>
      <c r="L209">
        <v>560009</v>
      </c>
      <c r="M209" t="s">
        <v>19</v>
      </c>
      <c r="N209" t="s">
        <v>20</v>
      </c>
      <c r="O209" t="str">
        <f t="shared" si="7"/>
        <v>Loyal Customer</v>
      </c>
    </row>
    <row r="210" spans="1:15" x14ac:dyDescent="0.25">
      <c r="A210">
        <v>25</v>
      </c>
      <c r="B210" t="str">
        <f t="shared" si="6"/>
        <v>25-29</v>
      </c>
      <c r="C210" t="s">
        <v>24</v>
      </c>
      <c r="D210" t="s">
        <v>14</v>
      </c>
      <c r="E210" t="s">
        <v>29</v>
      </c>
      <c r="F210" t="s">
        <v>28</v>
      </c>
      <c r="G210" t="s">
        <v>22</v>
      </c>
      <c r="H210">
        <v>2</v>
      </c>
      <c r="I210" t="s">
        <v>23</v>
      </c>
      <c r="J210">
        <v>12.978300000000001</v>
      </c>
      <c r="K210">
        <v>77.640799999999999</v>
      </c>
      <c r="L210">
        <v>560038</v>
      </c>
      <c r="M210" t="s">
        <v>19</v>
      </c>
      <c r="N210" t="s">
        <v>20</v>
      </c>
      <c r="O210" t="str">
        <f t="shared" si="7"/>
        <v>Loyal Customer</v>
      </c>
    </row>
    <row r="211" spans="1:15" x14ac:dyDescent="0.25">
      <c r="A211">
        <v>29</v>
      </c>
      <c r="B211" t="str">
        <f t="shared" si="6"/>
        <v>25-29</v>
      </c>
      <c r="C211" t="s">
        <v>13</v>
      </c>
      <c r="D211" t="s">
        <v>26</v>
      </c>
      <c r="E211" t="s">
        <v>27</v>
      </c>
      <c r="F211" t="s">
        <v>31</v>
      </c>
      <c r="G211" t="s">
        <v>22</v>
      </c>
      <c r="H211">
        <v>4</v>
      </c>
      <c r="I211" t="s">
        <v>18</v>
      </c>
      <c r="J211">
        <v>12.978300000000001</v>
      </c>
      <c r="K211">
        <v>77.640799999999999</v>
      </c>
      <c r="L211">
        <v>560038</v>
      </c>
      <c r="M211" t="s">
        <v>34</v>
      </c>
      <c r="N211" t="s">
        <v>25</v>
      </c>
      <c r="O211" t="str">
        <f t="shared" si="7"/>
        <v>Churned &amp; Unhappy</v>
      </c>
    </row>
    <row r="212" spans="1:15" x14ac:dyDescent="0.25">
      <c r="A212">
        <v>27</v>
      </c>
      <c r="B212" t="str">
        <f t="shared" si="6"/>
        <v>25-29</v>
      </c>
      <c r="C212" t="s">
        <v>24</v>
      </c>
      <c r="D212" t="s">
        <v>26</v>
      </c>
      <c r="E212" t="s">
        <v>29</v>
      </c>
      <c r="F212" t="s">
        <v>31</v>
      </c>
      <c r="G212" t="s">
        <v>22</v>
      </c>
      <c r="H212">
        <v>6</v>
      </c>
      <c r="I212" t="s">
        <v>18</v>
      </c>
      <c r="J212">
        <v>12.9217</v>
      </c>
      <c r="K212">
        <v>77.593599999999995</v>
      </c>
      <c r="L212">
        <v>560041</v>
      </c>
      <c r="M212" t="s">
        <v>34</v>
      </c>
      <c r="N212" t="s">
        <v>25</v>
      </c>
      <c r="O212" t="str">
        <f t="shared" si="7"/>
        <v>Churned &amp; Unhappy</v>
      </c>
    </row>
    <row r="213" spans="1:15" x14ac:dyDescent="0.25">
      <c r="A213">
        <v>25</v>
      </c>
      <c r="B213" t="str">
        <f t="shared" si="6"/>
        <v>25-29</v>
      </c>
      <c r="C213" t="s">
        <v>24</v>
      </c>
      <c r="D213" t="s">
        <v>14</v>
      </c>
      <c r="E213" t="s">
        <v>29</v>
      </c>
      <c r="F213" t="s">
        <v>30</v>
      </c>
      <c r="G213" t="s">
        <v>22</v>
      </c>
      <c r="H213">
        <v>3</v>
      </c>
      <c r="I213" t="s">
        <v>23</v>
      </c>
      <c r="J213">
        <v>13.0206</v>
      </c>
      <c r="K213">
        <v>77.647900000000007</v>
      </c>
      <c r="L213">
        <v>560043</v>
      </c>
      <c r="M213" t="s">
        <v>19</v>
      </c>
      <c r="N213" t="s">
        <v>20</v>
      </c>
      <c r="O213" t="str">
        <f t="shared" si="7"/>
        <v>Loyal Customer</v>
      </c>
    </row>
    <row r="214" spans="1:15" x14ac:dyDescent="0.25">
      <c r="A214">
        <v>21</v>
      </c>
      <c r="B214" t="str">
        <f t="shared" si="6"/>
        <v>18-24</v>
      </c>
      <c r="C214" t="s">
        <v>24</v>
      </c>
      <c r="D214" t="s">
        <v>14</v>
      </c>
      <c r="E214" t="s">
        <v>15</v>
      </c>
      <c r="F214" t="s">
        <v>16</v>
      </c>
      <c r="G214" t="s">
        <v>22</v>
      </c>
      <c r="H214">
        <v>2</v>
      </c>
      <c r="I214" t="s">
        <v>23</v>
      </c>
      <c r="J214">
        <v>13.001200000000001</v>
      </c>
      <c r="K214">
        <v>77.599500000000006</v>
      </c>
      <c r="L214">
        <v>560046</v>
      </c>
      <c r="M214" t="s">
        <v>34</v>
      </c>
      <c r="N214" t="s">
        <v>25</v>
      </c>
      <c r="O214" t="str">
        <f t="shared" si="7"/>
        <v>Churned &amp; Unhappy</v>
      </c>
    </row>
    <row r="215" spans="1:15" x14ac:dyDescent="0.25">
      <c r="A215">
        <v>23</v>
      </c>
      <c r="B215" t="str">
        <f t="shared" si="6"/>
        <v>18-24</v>
      </c>
      <c r="C215" t="s">
        <v>24</v>
      </c>
      <c r="D215" t="s">
        <v>14</v>
      </c>
      <c r="E215" t="s">
        <v>15</v>
      </c>
      <c r="F215" t="s">
        <v>16</v>
      </c>
      <c r="G215" t="s">
        <v>22</v>
      </c>
      <c r="H215">
        <v>3</v>
      </c>
      <c r="I215" t="s">
        <v>23</v>
      </c>
      <c r="J215">
        <v>13.0223</v>
      </c>
      <c r="K215">
        <v>77.713200000000001</v>
      </c>
      <c r="L215">
        <v>560049</v>
      </c>
      <c r="M215" t="s">
        <v>19</v>
      </c>
      <c r="N215" t="s">
        <v>20</v>
      </c>
      <c r="O215" t="str">
        <f t="shared" si="7"/>
        <v>Loyal Customer</v>
      </c>
    </row>
    <row r="216" spans="1:15" x14ac:dyDescent="0.25">
      <c r="A216">
        <v>24</v>
      </c>
      <c r="B216" t="str">
        <f t="shared" si="6"/>
        <v>18-24</v>
      </c>
      <c r="C216" t="s">
        <v>13</v>
      </c>
      <c r="D216" t="s">
        <v>14</v>
      </c>
      <c r="E216" t="s">
        <v>27</v>
      </c>
      <c r="F216" t="s">
        <v>30</v>
      </c>
      <c r="G216" t="s">
        <v>17</v>
      </c>
      <c r="H216">
        <v>4</v>
      </c>
      <c r="I216" t="s">
        <v>18</v>
      </c>
      <c r="J216">
        <v>12.9337</v>
      </c>
      <c r="K216">
        <v>77.59</v>
      </c>
      <c r="L216">
        <v>560011</v>
      </c>
      <c r="M216" t="s">
        <v>19</v>
      </c>
      <c r="N216" t="s">
        <v>20</v>
      </c>
      <c r="O216" t="str">
        <f t="shared" si="7"/>
        <v>Loyal Customer</v>
      </c>
    </row>
    <row r="217" spans="1:15" x14ac:dyDescent="0.25">
      <c r="A217">
        <v>32</v>
      </c>
      <c r="B217" t="str">
        <f t="shared" si="6"/>
        <v>30-33</v>
      </c>
      <c r="C217" t="s">
        <v>24</v>
      </c>
      <c r="D217" t="s">
        <v>26</v>
      </c>
      <c r="E217" t="s">
        <v>29</v>
      </c>
      <c r="F217" t="s">
        <v>30</v>
      </c>
      <c r="G217" t="s">
        <v>38</v>
      </c>
      <c r="H217">
        <v>3</v>
      </c>
      <c r="I217" t="s">
        <v>23</v>
      </c>
      <c r="J217">
        <v>12.981999999999999</v>
      </c>
      <c r="K217">
        <v>77.625600000000006</v>
      </c>
      <c r="L217">
        <v>560008</v>
      </c>
      <c r="M217" t="s">
        <v>19</v>
      </c>
      <c r="N217" t="s">
        <v>25</v>
      </c>
      <c r="O217" t="str">
        <f t="shared" si="7"/>
        <v>Churned &amp; Unhappy</v>
      </c>
    </row>
    <row r="218" spans="1:15" x14ac:dyDescent="0.25">
      <c r="A218">
        <v>28</v>
      </c>
      <c r="B218" t="str">
        <f t="shared" si="6"/>
        <v>25-29</v>
      </c>
      <c r="C218" t="s">
        <v>24</v>
      </c>
      <c r="D218" t="s">
        <v>26</v>
      </c>
      <c r="E218" t="s">
        <v>27</v>
      </c>
      <c r="F218" t="s">
        <v>31</v>
      </c>
      <c r="G218" t="s">
        <v>17</v>
      </c>
      <c r="H218">
        <v>5</v>
      </c>
      <c r="I218" t="s">
        <v>18</v>
      </c>
      <c r="J218">
        <v>13.026199999999999</v>
      </c>
      <c r="K218">
        <v>77.62</v>
      </c>
      <c r="L218">
        <v>560045</v>
      </c>
      <c r="M218" t="s">
        <v>19</v>
      </c>
      <c r="N218" t="s">
        <v>20</v>
      </c>
      <c r="O218" t="str">
        <f t="shared" si="7"/>
        <v>Loyal Customer</v>
      </c>
    </row>
    <row r="219" spans="1:15" x14ac:dyDescent="0.25">
      <c r="A219">
        <v>26</v>
      </c>
      <c r="B219" t="str">
        <f t="shared" si="6"/>
        <v>25-29</v>
      </c>
      <c r="C219" t="s">
        <v>24</v>
      </c>
      <c r="D219" t="s">
        <v>14</v>
      </c>
      <c r="E219" t="s">
        <v>27</v>
      </c>
      <c r="F219" t="s">
        <v>30</v>
      </c>
      <c r="G219" t="s">
        <v>22</v>
      </c>
      <c r="H219">
        <v>2</v>
      </c>
      <c r="I219" t="s">
        <v>23</v>
      </c>
      <c r="J219">
        <v>12.9217</v>
      </c>
      <c r="K219">
        <v>77.593599999999995</v>
      </c>
      <c r="L219">
        <v>560041</v>
      </c>
      <c r="M219" t="s">
        <v>34</v>
      </c>
      <c r="N219" t="s">
        <v>25</v>
      </c>
      <c r="O219" t="str">
        <f t="shared" si="7"/>
        <v>Churned &amp; Unhappy</v>
      </c>
    </row>
    <row r="220" spans="1:15" x14ac:dyDescent="0.25">
      <c r="A220">
        <v>31</v>
      </c>
      <c r="B220" t="str">
        <f t="shared" si="6"/>
        <v>30-33</v>
      </c>
      <c r="C220" t="s">
        <v>13</v>
      </c>
      <c r="D220" t="s">
        <v>26</v>
      </c>
      <c r="E220" t="s">
        <v>36</v>
      </c>
      <c r="F220" t="s">
        <v>16</v>
      </c>
      <c r="G220" t="s">
        <v>22</v>
      </c>
      <c r="H220">
        <v>5</v>
      </c>
      <c r="I220" t="s">
        <v>18</v>
      </c>
      <c r="J220">
        <v>13.0078</v>
      </c>
      <c r="K220">
        <v>77.557699999999997</v>
      </c>
      <c r="L220">
        <v>560055</v>
      </c>
      <c r="M220" t="s">
        <v>19</v>
      </c>
      <c r="N220" t="s">
        <v>20</v>
      </c>
      <c r="O220" t="str">
        <f t="shared" si="7"/>
        <v>Loyal Customer</v>
      </c>
    </row>
    <row r="221" spans="1:15" x14ac:dyDescent="0.25">
      <c r="A221">
        <v>27</v>
      </c>
      <c r="B221" t="str">
        <f t="shared" si="6"/>
        <v>25-29</v>
      </c>
      <c r="C221" t="s">
        <v>13</v>
      </c>
      <c r="D221" t="s">
        <v>26</v>
      </c>
      <c r="E221" t="s">
        <v>29</v>
      </c>
      <c r="F221" t="s">
        <v>31</v>
      </c>
      <c r="G221" t="s">
        <v>22</v>
      </c>
      <c r="H221">
        <v>3</v>
      </c>
      <c r="I221" t="s">
        <v>23</v>
      </c>
      <c r="J221">
        <v>13.0078</v>
      </c>
      <c r="K221">
        <v>77.557699999999997</v>
      </c>
      <c r="L221">
        <v>560055</v>
      </c>
      <c r="M221" t="s">
        <v>19</v>
      </c>
      <c r="N221" t="s">
        <v>20</v>
      </c>
      <c r="O221" t="str">
        <f t="shared" si="7"/>
        <v>Loyal Customer</v>
      </c>
    </row>
    <row r="222" spans="1:15" x14ac:dyDescent="0.25">
      <c r="A222">
        <v>21</v>
      </c>
      <c r="B222" t="str">
        <f t="shared" si="6"/>
        <v>18-24</v>
      </c>
      <c r="C222" t="s">
        <v>13</v>
      </c>
      <c r="D222" t="s">
        <v>14</v>
      </c>
      <c r="E222" t="s">
        <v>15</v>
      </c>
      <c r="F222" t="s">
        <v>16</v>
      </c>
      <c r="G222" t="s">
        <v>17</v>
      </c>
      <c r="H222">
        <v>1</v>
      </c>
      <c r="I222" t="s">
        <v>32</v>
      </c>
      <c r="J222">
        <v>12.9217</v>
      </c>
      <c r="K222">
        <v>77.593599999999995</v>
      </c>
      <c r="L222">
        <v>560041</v>
      </c>
      <c r="M222" t="s">
        <v>19</v>
      </c>
      <c r="N222" t="s">
        <v>20</v>
      </c>
      <c r="O222" t="str">
        <f t="shared" si="7"/>
        <v>Loyal Customer</v>
      </c>
    </row>
    <row r="223" spans="1:15" x14ac:dyDescent="0.25">
      <c r="A223">
        <v>23</v>
      </c>
      <c r="B223" t="str">
        <f t="shared" si="6"/>
        <v>18-24</v>
      </c>
      <c r="C223" t="s">
        <v>13</v>
      </c>
      <c r="D223" t="s">
        <v>14</v>
      </c>
      <c r="E223" t="s">
        <v>15</v>
      </c>
      <c r="F223" t="s">
        <v>16</v>
      </c>
      <c r="G223" t="s">
        <v>22</v>
      </c>
      <c r="H223">
        <v>2</v>
      </c>
      <c r="I223" t="s">
        <v>23</v>
      </c>
      <c r="J223">
        <v>12.910500000000001</v>
      </c>
      <c r="K223">
        <v>77.484200000000001</v>
      </c>
      <c r="L223">
        <v>560060</v>
      </c>
      <c r="M223" t="s">
        <v>34</v>
      </c>
      <c r="N223" t="s">
        <v>20</v>
      </c>
      <c r="O223" t="str">
        <f t="shared" si="7"/>
        <v>Lost Potential</v>
      </c>
    </row>
    <row r="224" spans="1:15" x14ac:dyDescent="0.25">
      <c r="A224">
        <v>26</v>
      </c>
      <c r="B224" t="str">
        <f t="shared" si="6"/>
        <v>25-29</v>
      </c>
      <c r="C224" t="s">
        <v>24</v>
      </c>
      <c r="D224" t="s">
        <v>26</v>
      </c>
      <c r="E224" t="s">
        <v>27</v>
      </c>
      <c r="F224" t="s">
        <v>30</v>
      </c>
      <c r="G224" t="s">
        <v>22</v>
      </c>
      <c r="H224">
        <v>4</v>
      </c>
      <c r="I224" t="s">
        <v>18</v>
      </c>
      <c r="J224">
        <v>12.910500000000001</v>
      </c>
      <c r="K224">
        <v>77.484200000000001</v>
      </c>
      <c r="L224">
        <v>560060</v>
      </c>
      <c r="M224" t="s">
        <v>34</v>
      </c>
      <c r="N224" t="s">
        <v>20</v>
      </c>
      <c r="O224" t="str">
        <f t="shared" si="7"/>
        <v>Lost Potential</v>
      </c>
    </row>
    <row r="225" spans="1:15" x14ac:dyDescent="0.25">
      <c r="A225">
        <v>32</v>
      </c>
      <c r="B225" t="str">
        <f t="shared" si="6"/>
        <v>30-33</v>
      </c>
      <c r="C225" t="s">
        <v>24</v>
      </c>
      <c r="D225" t="s">
        <v>26</v>
      </c>
      <c r="E225" t="s">
        <v>27</v>
      </c>
      <c r="F225" t="s">
        <v>28</v>
      </c>
      <c r="G225" t="s">
        <v>22</v>
      </c>
      <c r="H225">
        <v>5</v>
      </c>
      <c r="I225" t="s">
        <v>18</v>
      </c>
      <c r="J225">
        <v>12.903700000000001</v>
      </c>
      <c r="K225">
        <v>77.537599999999998</v>
      </c>
      <c r="L225">
        <v>560061</v>
      </c>
      <c r="M225" t="s">
        <v>19</v>
      </c>
      <c r="N225" t="s">
        <v>20</v>
      </c>
      <c r="O225" t="str">
        <f t="shared" si="7"/>
        <v>Loyal Customer</v>
      </c>
    </row>
    <row r="226" spans="1:15" x14ac:dyDescent="0.25">
      <c r="A226">
        <v>25</v>
      </c>
      <c r="B226" t="str">
        <f t="shared" si="6"/>
        <v>25-29</v>
      </c>
      <c r="C226" t="s">
        <v>13</v>
      </c>
      <c r="D226" t="s">
        <v>26</v>
      </c>
      <c r="E226" t="s">
        <v>15</v>
      </c>
      <c r="F226" t="s">
        <v>16</v>
      </c>
      <c r="G226" t="s">
        <v>17</v>
      </c>
      <c r="H226">
        <v>2</v>
      </c>
      <c r="I226" t="s">
        <v>23</v>
      </c>
      <c r="J226">
        <v>12.8834</v>
      </c>
      <c r="K226">
        <v>77.548599999999993</v>
      </c>
      <c r="L226">
        <v>560062</v>
      </c>
      <c r="M226" t="s">
        <v>19</v>
      </c>
      <c r="N226" t="s">
        <v>20</v>
      </c>
      <c r="O226" t="str">
        <f t="shared" si="7"/>
        <v>Loyal Customer</v>
      </c>
    </row>
    <row r="227" spans="1:15" x14ac:dyDescent="0.25">
      <c r="A227">
        <v>28</v>
      </c>
      <c r="B227" t="str">
        <f t="shared" si="6"/>
        <v>25-29</v>
      </c>
      <c r="C227" t="s">
        <v>24</v>
      </c>
      <c r="D227" t="s">
        <v>14</v>
      </c>
      <c r="E227" t="s">
        <v>29</v>
      </c>
      <c r="F227" t="s">
        <v>30</v>
      </c>
      <c r="G227" t="s">
        <v>17</v>
      </c>
      <c r="H227">
        <v>2</v>
      </c>
      <c r="I227" t="s">
        <v>23</v>
      </c>
      <c r="J227">
        <v>12.914899999999999</v>
      </c>
      <c r="K227">
        <v>77.563500000000005</v>
      </c>
      <c r="L227">
        <v>560070</v>
      </c>
      <c r="M227" t="s">
        <v>19</v>
      </c>
      <c r="N227" t="s">
        <v>20</v>
      </c>
      <c r="O227" t="str">
        <f t="shared" si="7"/>
        <v>Loyal Customer</v>
      </c>
    </row>
    <row r="228" spans="1:15" x14ac:dyDescent="0.25">
      <c r="A228">
        <v>21</v>
      </c>
      <c r="B228" t="str">
        <f t="shared" si="6"/>
        <v>18-24</v>
      </c>
      <c r="C228" t="s">
        <v>13</v>
      </c>
      <c r="D228" t="s">
        <v>14</v>
      </c>
      <c r="E228" t="s">
        <v>15</v>
      </c>
      <c r="F228" t="s">
        <v>16</v>
      </c>
      <c r="G228" t="s">
        <v>17</v>
      </c>
      <c r="H228">
        <v>3</v>
      </c>
      <c r="I228" t="s">
        <v>23</v>
      </c>
      <c r="J228">
        <v>12.914899999999999</v>
      </c>
      <c r="K228">
        <v>77.563500000000005</v>
      </c>
      <c r="L228">
        <v>560070</v>
      </c>
      <c r="M228" t="s">
        <v>19</v>
      </c>
      <c r="N228" t="s">
        <v>20</v>
      </c>
      <c r="O228" t="str">
        <f t="shared" si="7"/>
        <v>Loyal Customer</v>
      </c>
    </row>
    <row r="229" spans="1:15" x14ac:dyDescent="0.25">
      <c r="A229">
        <v>24</v>
      </c>
      <c r="B229" t="str">
        <f t="shared" si="6"/>
        <v>18-24</v>
      </c>
      <c r="C229" t="s">
        <v>24</v>
      </c>
      <c r="D229" t="s">
        <v>14</v>
      </c>
      <c r="E229" t="s">
        <v>15</v>
      </c>
      <c r="F229" t="s">
        <v>16</v>
      </c>
      <c r="G229" t="s">
        <v>17</v>
      </c>
      <c r="H229">
        <v>2</v>
      </c>
      <c r="I229" t="s">
        <v>23</v>
      </c>
      <c r="J229">
        <v>12.970599999999999</v>
      </c>
      <c r="K229">
        <v>77.652900000000002</v>
      </c>
      <c r="L229">
        <v>560075</v>
      </c>
      <c r="M229" t="s">
        <v>19</v>
      </c>
      <c r="N229" t="s">
        <v>20</v>
      </c>
      <c r="O229" t="str">
        <f t="shared" si="7"/>
        <v>Loyal Customer</v>
      </c>
    </row>
    <row r="230" spans="1:15" x14ac:dyDescent="0.25">
      <c r="A230">
        <v>26</v>
      </c>
      <c r="B230" t="str">
        <f t="shared" si="6"/>
        <v>25-29</v>
      </c>
      <c r="C230" t="s">
        <v>13</v>
      </c>
      <c r="D230" t="s">
        <v>26</v>
      </c>
      <c r="E230" t="s">
        <v>29</v>
      </c>
      <c r="F230" t="s">
        <v>30</v>
      </c>
      <c r="G230" t="s">
        <v>22</v>
      </c>
      <c r="H230">
        <v>5</v>
      </c>
      <c r="I230" t="s">
        <v>18</v>
      </c>
      <c r="J230">
        <v>12.970599999999999</v>
      </c>
      <c r="K230">
        <v>77.652900000000002</v>
      </c>
      <c r="L230">
        <v>560075</v>
      </c>
      <c r="M230" t="s">
        <v>34</v>
      </c>
      <c r="N230" t="s">
        <v>25</v>
      </c>
      <c r="O230" t="str">
        <f t="shared" si="7"/>
        <v>Churned &amp; Unhappy</v>
      </c>
    </row>
    <row r="231" spans="1:15" x14ac:dyDescent="0.25">
      <c r="A231">
        <v>32</v>
      </c>
      <c r="B231" t="str">
        <f t="shared" si="6"/>
        <v>30-33</v>
      </c>
      <c r="C231" t="s">
        <v>24</v>
      </c>
      <c r="D231" t="s">
        <v>26</v>
      </c>
      <c r="E231" t="s">
        <v>27</v>
      </c>
      <c r="F231" t="s">
        <v>31</v>
      </c>
      <c r="G231" t="s">
        <v>22</v>
      </c>
      <c r="H231">
        <v>3</v>
      </c>
      <c r="I231" t="s">
        <v>23</v>
      </c>
      <c r="J231">
        <v>12.970599999999999</v>
      </c>
      <c r="K231">
        <v>77.652900000000002</v>
      </c>
      <c r="L231">
        <v>560075</v>
      </c>
      <c r="M231" t="s">
        <v>19</v>
      </c>
      <c r="N231" t="s">
        <v>20</v>
      </c>
      <c r="O231" t="str">
        <f t="shared" si="7"/>
        <v>Loyal Customer</v>
      </c>
    </row>
    <row r="232" spans="1:15" x14ac:dyDescent="0.25">
      <c r="A232">
        <v>29</v>
      </c>
      <c r="B232" t="str">
        <f t="shared" si="6"/>
        <v>25-29</v>
      </c>
      <c r="C232" t="s">
        <v>24</v>
      </c>
      <c r="D232" t="s">
        <v>14</v>
      </c>
      <c r="E232" t="s">
        <v>29</v>
      </c>
      <c r="F232" t="s">
        <v>28</v>
      </c>
      <c r="G232" t="s">
        <v>22</v>
      </c>
      <c r="H232">
        <v>6</v>
      </c>
      <c r="I232" t="s">
        <v>18</v>
      </c>
      <c r="J232">
        <v>12.884499999999999</v>
      </c>
      <c r="K232">
        <v>77.6036</v>
      </c>
      <c r="L232">
        <v>560076</v>
      </c>
      <c r="M232" t="s">
        <v>19</v>
      </c>
      <c r="N232" t="s">
        <v>20</v>
      </c>
      <c r="O232" t="str">
        <f t="shared" si="7"/>
        <v>Loyal Customer</v>
      </c>
    </row>
    <row r="233" spans="1:15" x14ac:dyDescent="0.25">
      <c r="A233">
        <v>21</v>
      </c>
      <c r="B233" t="str">
        <f t="shared" si="6"/>
        <v>18-24</v>
      </c>
      <c r="C233" t="s">
        <v>24</v>
      </c>
      <c r="D233" t="s">
        <v>14</v>
      </c>
      <c r="E233" t="s">
        <v>15</v>
      </c>
      <c r="F233" t="s">
        <v>16</v>
      </c>
      <c r="G233" t="s">
        <v>22</v>
      </c>
      <c r="H233">
        <v>5</v>
      </c>
      <c r="I233" t="s">
        <v>18</v>
      </c>
      <c r="J233">
        <v>12.978300000000001</v>
      </c>
      <c r="K233">
        <v>77.640799999999999</v>
      </c>
      <c r="L233">
        <v>560038</v>
      </c>
      <c r="M233" t="s">
        <v>19</v>
      </c>
      <c r="N233" t="s">
        <v>20</v>
      </c>
      <c r="O233" t="str">
        <f t="shared" si="7"/>
        <v>Loyal Customer</v>
      </c>
    </row>
    <row r="234" spans="1:15" x14ac:dyDescent="0.25">
      <c r="A234">
        <v>24</v>
      </c>
      <c r="B234" t="str">
        <f t="shared" si="6"/>
        <v>18-24</v>
      </c>
      <c r="C234" t="s">
        <v>13</v>
      </c>
      <c r="D234" t="s">
        <v>14</v>
      </c>
      <c r="E234" t="s">
        <v>29</v>
      </c>
      <c r="F234" t="s">
        <v>31</v>
      </c>
      <c r="G234" t="s">
        <v>17</v>
      </c>
      <c r="H234">
        <v>3</v>
      </c>
      <c r="I234" t="s">
        <v>23</v>
      </c>
      <c r="J234">
        <v>13.010300000000001</v>
      </c>
      <c r="K234">
        <v>77.579599999999999</v>
      </c>
      <c r="L234">
        <v>560080</v>
      </c>
      <c r="M234" t="s">
        <v>34</v>
      </c>
      <c r="N234" t="s">
        <v>25</v>
      </c>
      <c r="O234" t="str">
        <f t="shared" si="7"/>
        <v>Churned &amp; Unhappy</v>
      </c>
    </row>
    <row r="235" spans="1:15" x14ac:dyDescent="0.25">
      <c r="A235">
        <v>26</v>
      </c>
      <c r="B235" t="str">
        <f t="shared" si="6"/>
        <v>25-29</v>
      </c>
      <c r="C235" t="s">
        <v>24</v>
      </c>
      <c r="D235" t="s">
        <v>35</v>
      </c>
      <c r="E235" t="s">
        <v>29</v>
      </c>
      <c r="F235" t="s">
        <v>28</v>
      </c>
      <c r="G235" t="s">
        <v>17</v>
      </c>
      <c r="H235">
        <v>2</v>
      </c>
      <c r="I235" t="s">
        <v>23</v>
      </c>
      <c r="J235">
        <v>13.010300000000001</v>
      </c>
      <c r="K235">
        <v>77.579599999999999</v>
      </c>
      <c r="L235">
        <v>560080</v>
      </c>
      <c r="M235" t="s">
        <v>19</v>
      </c>
      <c r="N235" t="s">
        <v>20</v>
      </c>
      <c r="O235" t="str">
        <f t="shared" si="7"/>
        <v>Loyal Customer</v>
      </c>
    </row>
    <row r="236" spans="1:15" x14ac:dyDescent="0.25">
      <c r="A236">
        <v>25</v>
      </c>
      <c r="B236" t="str">
        <f t="shared" si="6"/>
        <v>25-29</v>
      </c>
      <c r="C236" t="s">
        <v>24</v>
      </c>
      <c r="D236" t="s">
        <v>26</v>
      </c>
      <c r="E236" t="s">
        <v>27</v>
      </c>
      <c r="F236" t="s">
        <v>28</v>
      </c>
      <c r="G236" t="s">
        <v>33</v>
      </c>
      <c r="H236">
        <v>3</v>
      </c>
      <c r="I236" t="s">
        <v>23</v>
      </c>
      <c r="J236">
        <v>12.9306</v>
      </c>
      <c r="K236">
        <v>77.543400000000005</v>
      </c>
      <c r="L236">
        <v>560085</v>
      </c>
      <c r="M236" t="s">
        <v>19</v>
      </c>
      <c r="N236" t="s">
        <v>20</v>
      </c>
      <c r="O236" t="str">
        <f t="shared" si="7"/>
        <v>Loyal Customer</v>
      </c>
    </row>
    <row r="237" spans="1:15" x14ac:dyDescent="0.25">
      <c r="A237">
        <v>29</v>
      </c>
      <c r="B237" t="str">
        <f t="shared" si="6"/>
        <v>25-29</v>
      </c>
      <c r="C237" t="s">
        <v>24</v>
      </c>
      <c r="D237" t="s">
        <v>14</v>
      </c>
      <c r="E237" t="s">
        <v>27</v>
      </c>
      <c r="F237" t="s">
        <v>31</v>
      </c>
      <c r="G237" t="s">
        <v>22</v>
      </c>
      <c r="H237">
        <v>3</v>
      </c>
      <c r="I237" t="s">
        <v>23</v>
      </c>
      <c r="J237">
        <v>13.0641</v>
      </c>
      <c r="K237">
        <v>77.593100000000007</v>
      </c>
      <c r="L237">
        <v>560092</v>
      </c>
      <c r="M237" t="s">
        <v>34</v>
      </c>
      <c r="N237" t="s">
        <v>25</v>
      </c>
      <c r="O237" t="str">
        <f t="shared" si="7"/>
        <v>Churned &amp; Unhappy</v>
      </c>
    </row>
    <row r="238" spans="1:15" x14ac:dyDescent="0.25">
      <c r="A238">
        <v>22</v>
      </c>
      <c r="B238" t="str">
        <f t="shared" si="6"/>
        <v>18-24</v>
      </c>
      <c r="C238" t="s">
        <v>24</v>
      </c>
      <c r="D238" t="s">
        <v>14</v>
      </c>
      <c r="E238" t="s">
        <v>15</v>
      </c>
      <c r="F238" t="s">
        <v>16</v>
      </c>
      <c r="G238" t="s">
        <v>22</v>
      </c>
      <c r="H238">
        <v>3</v>
      </c>
      <c r="I238" t="s">
        <v>23</v>
      </c>
      <c r="J238">
        <v>13.0158</v>
      </c>
      <c r="K238">
        <v>77.539000000000001</v>
      </c>
      <c r="L238">
        <v>560096</v>
      </c>
      <c r="M238" t="s">
        <v>19</v>
      </c>
      <c r="N238" t="s">
        <v>20</v>
      </c>
      <c r="O238" t="str">
        <f t="shared" si="7"/>
        <v>Loyal Customer</v>
      </c>
    </row>
    <row r="239" spans="1:15" x14ac:dyDescent="0.25">
      <c r="A239">
        <v>24</v>
      </c>
      <c r="B239" t="str">
        <f t="shared" si="6"/>
        <v>18-24</v>
      </c>
      <c r="C239" t="s">
        <v>24</v>
      </c>
      <c r="D239" t="s">
        <v>14</v>
      </c>
      <c r="E239" t="s">
        <v>15</v>
      </c>
      <c r="F239" t="s">
        <v>16</v>
      </c>
      <c r="G239" t="s">
        <v>22</v>
      </c>
      <c r="H239">
        <v>2</v>
      </c>
      <c r="I239" t="s">
        <v>23</v>
      </c>
      <c r="J239">
        <v>12.956099999999999</v>
      </c>
      <c r="K239">
        <v>77.592100000000002</v>
      </c>
      <c r="L239">
        <v>560027</v>
      </c>
      <c r="M239" t="s">
        <v>19</v>
      </c>
      <c r="N239" t="s">
        <v>20</v>
      </c>
      <c r="O239" t="str">
        <f t="shared" si="7"/>
        <v>Loyal Customer</v>
      </c>
    </row>
    <row r="240" spans="1:15" x14ac:dyDescent="0.25">
      <c r="A240">
        <v>27</v>
      </c>
      <c r="B240" t="str">
        <f t="shared" si="6"/>
        <v>25-29</v>
      </c>
      <c r="C240" t="s">
        <v>24</v>
      </c>
      <c r="D240" t="s">
        <v>26</v>
      </c>
      <c r="E240" t="s">
        <v>27</v>
      </c>
      <c r="F240" t="s">
        <v>31</v>
      </c>
      <c r="G240" t="s">
        <v>22</v>
      </c>
      <c r="H240">
        <v>2</v>
      </c>
      <c r="I240" t="s">
        <v>23</v>
      </c>
      <c r="J240">
        <v>12.884499999999999</v>
      </c>
      <c r="K240">
        <v>77.6036</v>
      </c>
      <c r="L240">
        <v>560076</v>
      </c>
      <c r="M240" t="s">
        <v>19</v>
      </c>
      <c r="N240" t="s">
        <v>20</v>
      </c>
      <c r="O240" t="str">
        <f t="shared" si="7"/>
        <v>Loyal Customer</v>
      </c>
    </row>
    <row r="241" spans="1:15" x14ac:dyDescent="0.25">
      <c r="A241">
        <v>23</v>
      </c>
      <c r="B241" t="str">
        <f t="shared" si="6"/>
        <v>18-24</v>
      </c>
      <c r="C241" t="s">
        <v>13</v>
      </c>
      <c r="D241" t="s">
        <v>14</v>
      </c>
      <c r="E241" t="s">
        <v>15</v>
      </c>
      <c r="F241" t="s">
        <v>16</v>
      </c>
      <c r="G241" t="s">
        <v>17</v>
      </c>
      <c r="H241">
        <v>3</v>
      </c>
      <c r="I241" t="s">
        <v>23</v>
      </c>
      <c r="J241">
        <v>12.9369</v>
      </c>
      <c r="K241">
        <v>77.640699999999995</v>
      </c>
      <c r="L241">
        <v>560095</v>
      </c>
      <c r="M241" t="s">
        <v>34</v>
      </c>
      <c r="N241" t="s">
        <v>20</v>
      </c>
      <c r="O241" t="str">
        <f t="shared" si="7"/>
        <v>Lost Potential</v>
      </c>
    </row>
    <row r="242" spans="1:15" x14ac:dyDescent="0.25">
      <c r="A242">
        <v>32</v>
      </c>
      <c r="B242" t="str">
        <f t="shared" si="6"/>
        <v>30-33</v>
      </c>
      <c r="C242" t="s">
        <v>24</v>
      </c>
      <c r="D242" t="s">
        <v>26</v>
      </c>
      <c r="E242" t="s">
        <v>27</v>
      </c>
      <c r="F242" t="s">
        <v>28</v>
      </c>
      <c r="G242" t="s">
        <v>17</v>
      </c>
      <c r="H242">
        <v>6</v>
      </c>
      <c r="I242" t="s">
        <v>18</v>
      </c>
      <c r="J242">
        <v>12.9369</v>
      </c>
      <c r="K242">
        <v>77.640699999999995</v>
      </c>
      <c r="L242">
        <v>560095</v>
      </c>
      <c r="M242" t="s">
        <v>19</v>
      </c>
      <c r="N242" t="s">
        <v>20</v>
      </c>
      <c r="O242" t="str">
        <f t="shared" si="7"/>
        <v>Loyal Customer</v>
      </c>
    </row>
    <row r="243" spans="1:15" x14ac:dyDescent="0.25">
      <c r="A243">
        <v>22</v>
      </c>
      <c r="B243" t="str">
        <f t="shared" si="6"/>
        <v>18-24</v>
      </c>
      <c r="C243" t="s">
        <v>13</v>
      </c>
      <c r="D243" t="s">
        <v>14</v>
      </c>
      <c r="E243" t="s">
        <v>15</v>
      </c>
      <c r="F243" t="s">
        <v>16</v>
      </c>
      <c r="G243" t="s">
        <v>22</v>
      </c>
      <c r="H243">
        <v>2</v>
      </c>
      <c r="I243" t="s">
        <v>23</v>
      </c>
      <c r="J243">
        <v>12.9369</v>
      </c>
      <c r="K243">
        <v>77.640699999999995</v>
      </c>
      <c r="L243">
        <v>560095</v>
      </c>
      <c r="M243" t="s">
        <v>19</v>
      </c>
      <c r="N243" t="s">
        <v>20</v>
      </c>
      <c r="O243" t="str">
        <f t="shared" si="7"/>
        <v>Loyal Customer</v>
      </c>
    </row>
    <row r="244" spans="1:15" x14ac:dyDescent="0.25">
      <c r="A244">
        <v>28</v>
      </c>
      <c r="B244" t="str">
        <f t="shared" si="6"/>
        <v>25-29</v>
      </c>
      <c r="C244" t="s">
        <v>24</v>
      </c>
      <c r="D244" t="s">
        <v>26</v>
      </c>
      <c r="E244" t="s">
        <v>27</v>
      </c>
      <c r="F244" t="s">
        <v>31</v>
      </c>
      <c r="G244" t="s">
        <v>22</v>
      </c>
      <c r="H244">
        <v>3</v>
      </c>
      <c r="I244" t="s">
        <v>23</v>
      </c>
      <c r="J244">
        <v>12.9369</v>
      </c>
      <c r="K244">
        <v>77.640699999999995</v>
      </c>
      <c r="L244">
        <v>560095</v>
      </c>
      <c r="M244" t="s">
        <v>19</v>
      </c>
      <c r="N244" t="s">
        <v>20</v>
      </c>
      <c r="O244" t="str">
        <f t="shared" si="7"/>
        <v>Loyal Customer</v>
      </c>
    </row>
    <row r="245" spans="1:15" x14ac:dyDescent="0.25">
      <c r="A245">
        <v>23</v>
      </c>
      <c r="B245" t="str">
        <f t="shared" si="6"/>
        <v>18-24</v>
      </c>
      <c r="C245" t="s">
        <v>13</v>
      </c>
      <c r="D245" t="s">
        <v>14</v>
      </c>
      <c r="E245" t="s">
        <v>15</v>
      </c>
      <c r="F245" t="s">
        <v>16</v>
      </c>
      <c r="G245" t="s">
        <v>17</v>
      </c>
      <c r="H245">
        <v>2</v>
      </c>
      <c r="I245" t="s">
        <v>23</v>
      </c>
      <c r="J245">
        <v>13.0158</v>
      </c>
      <c r="K245">
        <v>77.539000000000001</v>
      </c>
      <c r="L245">
        <v>560096</v>
      </c>
      <c r="M245" t="s">
        <v>19</v>
      </c>
      <c r="N245" t="s">
        <v>20</v>
      </c>
      <c r="O245" t="str">
        <f t="shared" si="7"/>
        <v>Loyal Customer</v>
      </c>
    </row>
    <row r="246" spans="1:15" x14ac:dyDescent="0.25">
      <c r="A246">
        <v>30</v>
      </c>
      <c r="B246" t="str">
        <f t="shared" si="6"/>
        <v>30-33</v>
      </c>
      <c r="C246" t="s">
        <v>24</v>
      </c>
      <c r="D246" t="s">
        <v>26</v>
      </c>
      <c r="E246" t="s">
        <v>29</v>
      </c>
      <c r="F246" t="s">
        <v>28</v>
      </c>
      <c r="G246" t="s">
        <v>22</v>
      </c>
      <c r="H246">
        <v>1</v>
      </c>
      <c r="I246" t="s">
        <v>32</v>
      </c>
      <c r="J246">
        <v>13.0809</v>
      </c>
      <c r="K246">
        <v>77.5565</v>
      </c>
      <c r="L246">
        <v>560097</v>
      </c>
      <c r="M246" t="s">
        <v>34</v>
      </c>
      <c r="N246" t="s">
        <v>25</v>
      </c>
      <c r="O246" t="str">
        <f t="shared" si="7"/>
        <v>Churned &amp; Unhappy</v>
      </c>
    </row>
    <row r="247" spans="1:15" x14ac:dyDescent="0.25">
      <c r="A247">
        <v>21</v>
      </c>
      <c r="B247" t="str">
        <f t="shared" si="6"/>
        <v>18-24</v>
      </c>
      <c r="C247" t="s">
        <v>24</v>
      </c>
      <c r="D247" t="s">
        <v>14</v>
      </c>
      <c r="E247" t="s">
        <v>15</v>
      </c>
      <c r="F247" t="s">
        <v>16</v>
      </c>
      <c r="G247" t="s">
        <v>22</v>
      </c>
      <c r="H247">
        <v>3</v>
      </c>
      <c r="I247" t="s">
        <v>23</v>
      </c>
      <c r="J247">
        <v>13.0641</v>
      </c>
      <c r="K247">
        <v>77.593100000000007</v>
      </c>
      <c r="L247">
        <v>560092</v>
      </c>
      <c r="M247" t="s">
        <v>19</v>
      </c>
      <c r="N247" t="s">
        <v>20</v>
      </c>
      <c r="O247" t="str">
        <f t="shared" si="7"/>
        <v>Loyal Customer</v>
      </c>
    </row>
    <row r="248" spans="1:15" x14ac:dyDescent="0.25">
      <c r="A248">
        <v>26</v>
      </c>
      <c r="B248" t="str">
        <f t="shared" si="6"/>
        <v>25-29</v>
      </c>
      <c r="C248" t="s">
        <v>13</v>
      </c>
      <c r="D248" t="s">
        <v>26</v>
      </c>
      <c r="E248" t="s">
        <v>27</v>
      </c>
      <c r="F248" t="s">
        <v>21</v>
      </c>
      <c r="G248" t="s">
        <v>22</v>
      </c>
      <c r="H248">
        <v>6</v>
      </c>
      <c r="I248" t="s">
        <v>18</v>
      </c>
      <c r="J248">
        <v>12.985900000000001</v>
      </c>
      <c r="K248">
        <v>77.671300000000002</v>
      </c>
      <c r="L248">
        <v>560093</v>
      </c>
      <c r="M248" t="s">
        <v>34</v>
      </c>
      <c r="N248" t="s">
        <v>25</v>
      </c>
      <c r="O248" t="str">
        <f t="shared" si="7"/>
        <v>Churned &amp; Unhappy</v>
      </c>
    </row>
    <row r="249" spans="1:15" x14ac:dyDescent="0.25">
      <c r="A249">
        <v>25</v>
      </c>
      <c r="B249" t="str">
        <f t="shared" si="6"/>
        <v>25-29</v>
      </c>
      <c r="C249" t="s">
        <v>24</v>
      </c>
      <c r="D249" t="s">
        <v>14</v>
      </c>
      <c r="E249" t="s">
        <v>29</v>
      </c>
      <c r="F249" t="s">
        <v>28</v>
      </c>
      <c r="G249" t="s">
        <v>38</v>
      </c>
      <c r="H249">
        <v>3</v>
      </c>
      <c r="I249" t="s">
        <v>23</v>
      </c>
      <c r="J249">
        <v>12.985900000000001</v>
      </c>
      <c r="K249">
        <v>77.671300000000002</v>
      </c>
      <c r="L249">
        <v>560093</v>
      </c>
      <c r="M249" t="s">
        <v>19</v>
      </c>
      <c r="N249" t="s">
        <v>20</v>
      </c>
      <c r="O249" t="str">
        <f t="shared" si="7"/>
        <v>Loyal Customer</v>
      </c>
    </row>
    <row r="250" spans="1:15" x14ac:dyDescent="0.25">
      <c r="A250">
        <v>31</v>
      </c>
      <c r="B250" t="str">
        <f t="shared" si="6"/>
        <v>30-33</v>
      </c>
      <c r="C250" t="s">
        <v>24</v>
      </c>
      <c r="D250" t="s">
        <v>35</v>
      </c>
      <c r="E250" t="s">
        <v>27</v>
      </c>
      <c r="F250" t="s">
        <v>21</v>
      </c>
      <c r="G250" t="s">
        <v>22</v>
      </c>
      <c r="H250">
        <v>1</v>
      </c>
      <c r="I250" t="s">
        <v>32</v>
      </c>
      <c r="J250">
        <v>12.986599999999999</v>
      </c>
      <c r="K250">
        <v>77.490399999999994</v>
      </c>
      <c r="L250">
        <v>560091</v>
      </c>
      <c r="M250" t="s">
        <v>34</v>
      </c>
      <c r="N250" t="s">
        <v>25</v>
      </c>
      <c r="O250" t="str">
        <f t="shared" si="7"/>
        <v>Churned &amp; Unhappy</v>
      </c>
    </row>
    <row r="251" spans="1:15" x14ac:dyDescent="0.25">
      <c r="A251">
        <v>23</v>
      </c>
      <c r="B251" t="str">
        <f t="shared" si="6"/>
        <v>18-24</v>
      </c>
      <c r="C251" t="s">
        <v>13</v>
      </c>
      <c r="D251" t="s">
        <v>14</v>
      </c>
      <c r="E251" t="s">
        <v>27</v>
      </c>
      <c r="F251" t="s">
        <v>31</v>
      </c>
      <c r="G251" t="s">
        <v>17</v>
      </c>
      <c r="H251">
        <v>2</v>
      </c>
      <c r="I251" t="s">
        <v>23</v>
      </c>
      <c r="J251">
        <v>12.9847</v>
      </c>
      <c r="K251">
        <v>77.549099999999996</v>
      </c>
      <c r="L251">
        <v>560100</v>
      </c>
      <c r="M251" t="s">
        <v>19</v>
      </c>
      <c r="N251" t="s">
        <v>20</v>
      </c>
      <c r="O251" t="str">
        <f t="shared" si="7"/>
        <v>Loyal Customer</v>
      </c>
    </row>
    <row r="252" spans="1:15" x14ac:dyDescent="0.25">
      <c r="A252">
        <v>29</v>
      </c>
      <c r="B252" t="str">
        <f t="shared" si="6"/>
        <v>25-29</v>
      </c>
      <c r="C252" t="s">
        <v>13</v>
      </c>
      <c r="D252" t="s">
        <v>26</v>
      </c>
      <c r="E252" t="s">
        <v>27</v>
      </c>
      <c r="F252" t="s">
        <v>31</v>
      </c>
      <c r="G252" t="s">
        <v>33</v>
      </c>
      <c r="H252">
        <v>3</v>
      </c>
      <c r="I252" t="s">
        <v>23</v>
      </c>
      <c r="J252">
        <v>12.9847</v>
      </c>
      <c r="K252">
        <v>77.549099999999996</v>
      </c>
      <c r="L252">
        <v>560100</v>
      </c>
      <c r="M252" t="s">
        <v>19</v>
      </c>
      <c r="N252" t="s">
        <v>20</v>
      </c>
      <c r="O252" t="str">
        <f t="shared" si="7"/>
        <v>Loyal Customer</v>
      </c>
    </row>
    <row r="253" spans="1:15" x14ac:dyDescent="0.25">
      <c r="A253">
        <v>21</v>
      </c>
      <c r="B253" t="str">
        <f t="shared" si="6"/>
        <v>18-24</v>
      </c>
      <c r="C253" t="s">
        <v>24</v>
      </c>
      <c r="D253" t="s">
        <v>14</v>
      </c>
      <c r="E253" t="s">
        <v>15</v>
      </c>
      <c r="F253" t="s">
        <v>16</v>
      </c>
      <c r="G253" t="s">
        <v>22</v>
      </c>
      <c r="H253">
        <v>6</v>
      </c>
      <c r="I253" t="s">
        <v>18</v>
      </c>
      <c r="J253">
        <v>12.9847</v>
      </c>
      <c r="K253">
        <v>77.549099999999996</v>
      </c>
      <c r="L253">
        <v>560100</v>
      </c>
      <c r="M253" t="s">
        <v>19</v>
      </c>
      <c r="N253" t="s">
        <v>20</v>
      </c>
      <c r="O253" t="str">
        <f t="shared" si="7"/>
        <v>Loyal Customer</v>
      </c>
    </row>
    <row r="254" spans="1:15" x14ac:dyDescent="0.25">
      <c r="A254">
        <v>20</v>
      </c>
      <c r="B254" t="str">
        <f t="shared" si="6"/>
        <v>18-24</v>
      </c>
      <c r="C254" t="s">
        <v>24</v>
      </c>
      <c r="D254" t="s">
        <v>14</v>
      </c>
      <c r="E254" t="s">
        <v>15</v>
      </c>
      <c r="F254" t="s">
        <v>16</v>
      </c>
      <c r="G254" t="s">
        <v>22</v>
      </c>
      <c r="H254">
        <v>3</v>
      </c>
      <c r="I254" t="s">
        <v>23</v>
      </c>
      <c r="J254">
        <v>12.9299</v>
      </c>
      <c r="K254">
        <v>77.684799999999996</v>
      </c>
      <c r="L254">
        <v>560103</v>
      </c>
      <c r="M254" t="s">
        <v>19</v>
      </c>
      <c r="N254" t="s">
        <v>20</v>
      </c>
      <c r="O254" t="str">
        <f t="shared" si="7"/>
        <v>Loyal Customer</v>
      </c>
    </row>
    <row r="255" spans="1:15" x14ac:dyDescent="0.25">
      <c r="A255">
        <v>22</v>
      </c>
      <c r="B255" t="str">
        <f t="shared" si="6"/>
        <v>18-24</v>
      </c>
      <c r="C255" t="s">
        <v>24</v>
      </c>
      <c r="D255" t="s">
        <v>14</v>
      </c>
      <c r="E255" t="s">
        <v>27</v>
      </c>
      <c r="F255" t="s">
        <v>30</v>
      </c>
      <c r="G255" t="s">
        <v>22</v>
      </c>
      <c r="H255">
        <v>2</v>
      </c>
      <c r="I255" t="s">
        <v>23</v>
      </c>
      <c r="J255">
        <v>12.9299</v>
      </c>
      <c r="K255">
        <v>77.684799999999996</v>
      </c>
      <c r="L255">
        <v>560103</v>
      </c>
      <c r="M255" t="s">
        <v>19</v>
      </c>
      <c r="N255" t="s">
        <v>20</v>
      </c>
      <c r="O255" t="str">
        <f t="shared" si="7"/>
        <v>Loyal Customer</v>
      </c>
    </row>
    <row r="256" spans="1:15" x14ac:dyDescent="0.25">
      <c r="A256">
        <v>30</v>
      </c>
      <c r="B256" t="str">
        <f t="shared" si="6"/>
        <v>30-33</v>
      </c>
      <c r="C256" t="s">
        <v>13</v>
      </c>
      <c r="D256" t="s">
        <v>26</v>
      </c>
      <c r="E256" t="s">
        <v>36</v>
      </c>
      <c r="F256" t="s">
        <v>16</v>
      </c>
      <c r="G256" t="s">
        <v>38</v>
      </c>
      <c r="H256">
        <v>6</v>
      </c>
      <c r="I256" t="s">
        <v>18</v>
      </c>
      <c r="J256">
        <v>12.982799999999999</v>
      </c>
      <c r="K256">
        <v>77.613100000000003</v>
      </c>
      <c r="L256">
        <v>560042</v>
      </c>
      <c r="M256" t="s">
        <v>34</v>
      </c>
      <c r="N256" t="s">
        <v>20</v>
      </c>
      <c r="O256" t="str">
        <f t="shared" si="7"/>
        <v>Lost Potential</v>
      </c>
    </row>
    <row r="257" spans="1:15" x14ac:dyDescent="0.25">
      <c r="A257">
        <v>27</v>
      </c>
      <c r="B257" t="str">
        <f t="shared" si="6"/>
        <v>25-29</v>
      </c>
      <c r="C257" t="s">
        <v>24</v>
      </c>
      <c r="D257" t="s">
        <v>26</v>
      </c>
      <c r="E257" t="s">
        <v>29</v>
      </c>
      <c r="F257" t="s">
        <v>28</v>
      </c>
      <c r="G257" t="s">
        <v>22</v>
      </c>
      <c r="H257">
        <v>3</v>
      </c>
      <c r="I257" t="s">
        <v>23</v>
      </c>
      <c r="J257">
        <v>12.989000000000001</v>
      </c>
      <c r="K257">
        <v>77.533199999999994</v>
      </c>
      <c r="L257">
        <v>560079</v>
      </c>
      <c r="M257" t="s">
        <v>19</v>
      </c>
      <c r="N257" t="s">
        <v>20</v>
      </c>
      <c r="O257" t="str">
        <f t="shared" si="7"/>
        <v>Loyal Customer</v>
      </c>
    </row>
    <row r="258" spans="1:15" x14ac:dyDescent="0.25">
      <c r="A258">
        <v>23</v>
      </c>
      <c r="B258" t="str">
        <f t="shared" si="6"/>
        <v>18-24</v>
      </c>
      <c r="C258" t="s">
        <v>24</v>
      </c>
      <c r="D258" t="s">
        <v>14</v>
      </c>
      <c r="E258" t="s">
        <v>15</v>
      </c>
      <c r="F258" t="s">
        <v>16</v>
      </c>
      <c r="G258" t="s">
        <v>17</v>
      </c>
      <c r="H258">
        <v>2</v>
      </c>
      <c r="I258" t="s">
        <v>23</v>
      </c>
      <c r="J258">
        <v>12.977</v>
      </c>
      <c r="K258">
        <v>77.577299999999994</v>
      </c>
      <c r="L258">
        <v>560009</v>
      </c>
      <c r="M258" t="s">
        <v>34</v>
      </c>
      <c r="N258" t="s">
        <v>25</v>
      </c>
      <c r="O258" t="str">
        <f t="shared" si="7"/>
        <v>Churned &amp; Unhappy</v>
      </c>
    </row>
    <row r="259" spans="1:15" x14ac:dyDescent="0.25">
      <c r="A259">
        <v>30</v>
      </c>
      <c r="B259" t="str">
        <f t="shared" ref="B259:B322" si="8">IF(A259&lt;18, "Under 18", IF(A259&lt;=24, "18-24", IF(A259&lt;=29, "25-29", IF(A259&lt;=33, "30-33", "34+"))))</f>
        <v>30-33</v>
      </c>
      <c r="C259" t="s">
        <v>24</v>
      </c>
      <c r="D259" t="s">
        <v>26</v>
      </c>
      <c r="E259" t="s">
        <v>29</v>
      </c>
      <c r="F259" t="s">
        <v>31</v>
      </c>
      <c r="G259" t="s">
        <v>38</v>
      </c>
      <c r="H259">
        <v>6</v>
      </c>
      <c r="I259" t="s">
        <v>18</v>
      </c>
      <c r="J259">
        <v>12.9251</v>
      </c>
      <c r="K259">
        <v>77.499200000000002</v>
      </c>
      <c r="L259">
        <v>560059</v>
      </c>
      <c r="M259" t="s">
        <v>34</v>
      </c>
      <c r="N259" t="s">
        <v>25</v>
      </c>
      <c r="O259" t="str">
        <f t="shared" ref="O259:O322" si="9">IF(AND(M259="Yes",N259="Positive"),"Loyal Customer",
 IF(AND(M259="Yes",N259="Negative"),"At Risk",
 IF(AND(M259="No",N259="Positive"),"Lost Potential","Churned &amp; Unhappy")))</f>
        <v>Churned &amp; Unhappy</v>
      </c>
    </row>
    <row r="260" spans="1:15" x14ac:dyDescent="0.25">
      <c r="A260">
        <v>23</v>
      </c>
      <c r="B260" t="str">
        <f t="shared" si="8"/>
        <v>18-24</v>
      </c>
      <c r="C260" t="s">
        <v>24</v>
      </c>
      <c r="D260" t="s">
        <v>14</v>
      </c>
      <c r="E260" t="s">
        <v>15</v>
      </c>
      <c r="F260" t="s">
        <v>16</v>
      </c>
      <c r="G260" t="s">
        <v>17</v>
      </c>
      <c r="H260">
        <v>3</v>
      </c>
      <c r="I260" t="s">
        <v>23</v>
      </c>
      <c r="J260">
        <v>12.996700000000001</v>
      </c>
      <c r="K260">
        <v>77.758200000000002</v>
      </c>
      <c r="L260">
        <v>560067</v>
      </c>
      <c r="M260" t="s">
        <v>19</v>
      </c>
      <c r="N260" t="s">
        <v>20</v>
      </c>
      <c r="O260" t="str">
        <f t="shared" si="9"/>
        <v>Loyal Customer</v>
      </c>
    </row>
    <row r="261" spans="1:15" x14ac:dyDescent="0.25">
      <c r="A261">
        <v>28</v>
      </c>
      <c r="B261" t="str">
        <f t="shared" si="8"/>
        <v>25-29</v>
      </c>
      <c r="C261" t="s">
        <v>13</v>
      </c>
      <c r="D261" t="s">
        <v>26</v>
      </c>
      <c r="E261" t="s">
        <v>27</v>
      </c>
      <c r="F261" t="s">
        <v>31</v>
      </c>
      <c r="G261" t="s">
        <v>17</v>
      </c>
      <c r="H261">
        <v>6</v>
      </c>
      <c r="I261" t="s">
        <v>18</v>
      </c>
      <c r="J261">
        <v>12.996700000000001</v>
      </c>
      <c r="K261">
        <v>77.758200000000002</v>
      </c>
      <c r="L261">
        <v>560067</v>
      </c>
      <c r="M261" t="s">
        <v>34</v>
      </c>
      <c r="N261" t="s">
        <v>25</v>
      </c>
      <c r="O261" t="str">
        <f t="shared" si="9"/>
        <v>Churned &amp; Unhappy</v>
      </c>
    </row>
    <row r="262" spans="1:15" x14ac:dyDescent="0.25">
      <c r="A262">
        <v>30</v>
      </c>
      <c r="B262" t="str">
        <f t="shared" si="8"/>
        <v>30-33</v>
      </c>
      <c r="C262" t="s">
        <v>24</v>
      </c>
      <c r="D262" t="s">
        <v>26</v>
      </c>
      <c r="E262" t="s">
        <v>29</v>
      </c>
      <c r="F262" t="s">
        <v>28</v>
      </c>
      <c r="G262" t="s">
        <v>22</v>
      </c>
      <c r="H262">
        <v>6</v>
      </c>
      <c r="I262" t="s">
        <v>18</v>
      </c>
      <c r="J262">
        <v>12.996700000000001</v>
      </c>
      <c r="K262">
        <v>77.758200000000002</v>
      </c>
      <c r="L262">
        <v>560067</v>
      </c>
      <c r="M262" t="s">
        <v>19</v>
      </c>
      <c r="N262" t="s">
        <v>20</v>
      </c>
      <c r="O262" t="str">
        <f t="shared" si="9"/>
        <v>Loyal Customer</v>
      </c>
    </row>
    <row r="263" spans="1:15" x14ac:dyDescent="0.25">
      <c r="A263">
        <v>24</v>
      </c>
      <c r="B263" t="str">
        <f t="shared" si="8"/>
        <v>18-24</v>
      </c>
      <c r="C263" t="s">
        <v>13</v>
      </c>
      <c r="D263" t="s">
        <v>26</v>
      </c>
      <c r="E263" t="s">
        <v>27</v>
      </c>
      <c r="F263" t="s">
        <v>31</v>
      </c>
      <c r="G263" t="s">
        <v>17</v>
      </c>
      <c r="H263">
        <v>2</v>
      </c>
      <c r="I263" t="s">
        <v>23</v>
      </c>
      <c r="J263">
        <v>12.957000000000001</v>
      </c>
      <c r="K263">
        <v>77.563699999999997</v>
      </c>
      <c r="L263">
        <v>560018</v>
      </c>
      <c r="M263" t="s">
        <v>19</v>
      </c>
      <c r="N263" t="s">
        <v>25</v>
      </c>
      <c r="O263" t="str">
        <f t="shared" si="9"/>
        <v>Churned &amp; Unhappy</v>
      </c>
    </row>
    <row r="264" spans="1:15" x14ac:dyDescent="0.25">
      <c r="A264">
        <v>21</v>
      </c>
      <c r="B264" t="str">
        <f t="shared" si="8"/>
        <v>18-24</v>
      </c>
      <c r="C264" t="s">
        <v>24</v>
      </c>
      <c r="D264" t="s">
        <v>14</v>
      </c>
      <c r="E264" t="s">
        <v>15</v>
      </c>
      <c r="F264" t="s">
        <v>16</v>
      </c>
      <c r="G264" t="s">
        <v>22</v>
      </c>
      <c r="H264">
        <v>2</v>
      </c>
      <c r="I264" t="s">
        <v>23</v>
      </c>
      <c r="J264">
        <v>12.957000000000001</v>
      </c>
      <c r="K264">
        <v>77.563699999999997</v>
      </c>
      <c r="L264">
        <v>560018</v>
      </c>
      <c r="M264" t="s">
        <v>34</v>
      </c>
      <c r="N264" t="s">
        <v>25</v>
      </c>
      <c r="O264" t="str">
        <f t="shared" si="9"/>
        <v>Churned &amp; Unhappy</v>
      </c>
    </row>
    <row r="265" spans="1:15" x14ac:dyDescent="0.25">
      <c r="A265">
        <v>23</v>
      </c>
      <c r="B265" t="str">
        <f t="shared" si="8"/>
        <v>18-24</v>
      </c>
      <c r="C265" t="s">
        <v>13</v>
      </c>
      <c r="D265" t="s">
        <v>35</v>
      </c>
      <c r="E265" t="s">
        <v>27</v>
      </c>
      <c r="F265" t="s">
        <v>30</v>
      </c>
      <c r="G265" t="s">
        <v>22</v>
      </c>
      <c r="H265">
        <v>3</v>
      </c>
      <c r="I265" t="s">
        <v>23</v>
      </c>
      <c r="J265">
        <v>12.988899999999999</v>
      </c>
      <c r="K265">
        <v>77.574100000000001</v>
      </c>
      <c r="L265">
        <v>560020</v>
      </c>
      <c r="M265" t="s">
        <v>34</v>
      </c>
      <c r="N265" t="s">
        <v>25</v>
      </c>
      <c r="O265" t="str">
        <f t="shared" si="9"/>
        <v>Churned &amp; Unhappy</v>
      </c>
    </row>
    <row r="266" spans="1:15" x14ac:dyDescent="0.25">
      <c r="A266">
        <v>25</v>
      </c>
      <c r="B266" t="str">
        <f t="shared" si="8"/>
        <v>25-29</v>
      </c>
      <c r="C266" t="s">
        <v>24</v>
      </c>
      <c r="D266" t="s">
        <v>26</v>
      </c>
      <c r="E266" t="s">
        <v>29</v>
      </c>
      <c r="F266" t="s">
        <v>28</v>
      </c>
      <c r="G266" t="s">
        <v>17</v>
      </c>
      <c r="H266">
        <v>4</v>
      </c>
      <c r="I266" t="s">
        <v>18</v>
      </c>
      <c r="J266">
        <v>13.0206</v>
      </c>
      <c r="K266">
        <v>77.647900000000007</v>
      </c>
      <c r="L266">
        <v>560043</v>
      </c>
      <c r="M266" t="s">
        <v>19</v>
      </c>
      <c r="N266" t="s">
        <v>20</v>
      </c>
      <c r="O266" t="str">
        <f t="shared" si="9"/>
        <v>Loyal Customer</v>
      </c>
    </row>
    <row r="267" spans="1:15" x14ac:dyDescent="0.25">
      <c r="A267">
        <v>24</v>
      </c>
      <c r="B267" t="str">
        <f t="shared" si="8"/>
        <v>18-24</v>
      </c>
      <c r="C267" t="s">
        <v>13</v>
      </c>
      <c r="D267" t="s">
        <v>14</v>
      </c>
      <c r="E267" t="s">
        <v>27</v>
      </c>
      <c r="F267" t="s">
        <v>31</v>
      </c>
      <c r="G267" t="s">
        <v>22</v>
      </c>
      <c r="H267">
        <v>2</v>
      </c>
      <c r="I267" t="s">
        <v>23</v>
      </c>
      <c r="J267">
        <v>12.8893</v>
      </c>
      <c r="K267">
        <v>77.639899999999997</v>
      </c>
      <c r="L267">
        <v>560068</v>
      </c>
      <c r="M267" t="s">
        <v>19</v>
      </c>
      <c r="N267" t="s">
        <v>20</v>
      </c>
      <c r="O267" t="str">
        <f t="shared" si="9"/>
        <v>Loyal Customer</v>
      </c>
    </row>
    <row r="268" spans="1:15" x14ac:dyDescent="0.25">
      <c r="A268">
        <v>26</v>
      </c>
      <c r="B268" t="str">
        <f t="shared" si="8"/>
        <v>25-29</v>
      </c>
      <c r="C268" t="s">
        <v>24</v>
      </c>
      <c r="D268" t="s">
        <v>26</v>
      </c>
      <c r="E268" t="s">
        <v>27</v>
      </c>
      <c r="F268" t="s">
        <v>30</v>
      </c>
      <c r="G268" t="s">
        <v>22</v>
      </c>
      <c r="H268">
        <v>3</v>
      </c>
      <c r="I268" t="s">
        <v>23</v>
      </c>
      <c r="J268">
        <v>12.8893</v>
      </c>
      <c r="K268">
        <v>77.639899999999997</v>
      </c>
      <c r="L268">
        <v>560068</v>
      </c>
      <c r="M268" t="s">
        <v>34</v>
      </c>
      <c r="N268" t="s">
        <v>25</v>
      </c>
      <c r="O268" t="str">
        <f t="shared" si="9"/>
        <v>Churned &amp; Unhappy</v>
      </c>
    </row>
    <row r="269" spans="1:15" x14ac:dyDescent="0.25">
      <c r="A269">
        <v>25</v>
      </c>
      <c r="B269" t="str">
        <f t="shared" si="8"/>
        <v>25-29</v>
      </c>
      <c r="C269" t="s">
        <v>13</v>
      </c>
      <c r="D269" t="s">
        <v>14</v>
      </c>
      <c r="E269" t="s">
        <v>27</v>
      </c>
      <c r="F269" t="s">
        <v>31</v>
      </c>
      <c r="G269" t="s">
        <v>17</v>
      </c>
      <c r="H269">
        <v>2</v>
      </c>
      <c r="I269" t="s">
        <v>23</v>
      </c>
      <c r="J269">
        <v>12.996700000000001</v>
      </c>
      <c r="K269">
        <v>77.758200000000002</v>
      </c>
      <c r="L269">
        <v>560067</v>
      </c>
      <c r="M269" t="s">
        <v>19</v>
      </c>
      <c r="N269" t="s">
        <v>20</v>
      </c>
      <c r="O269" t="str">
        <f t="shared" si="9"/>
        <v>Loyal Customer</v>
      </c>
    </row>
    <row r="270" spans="1:15" x14ac:dyDescent="0.25">
      <c r="A270">
        <v>22</v>
      </c>
      <c r="B270" t="str">
        <f t="shared" si="8"/>
        <v>18-24</v>
      </c>
      <c r="C270" t="s">
        <v>24</v>
      </c>
      <c r="D270" t="s">
        <v>14</v>
      </c>
      <c r="E270" t="s">
        <v>15</v>
      </c>
      <c r="F270" t="s">
        <v>31</v>
      </c>
      <c r="G270" t="s">
        <v>22</v>
      </c>
      <c r="H270">
        <v>3</v>
      </c>
      <c r="I270" t="s">
        <v>23</v>
      </c>
      <c r="J270">
        <v>12.978300000000001</v>
      </c>
      <c r="K270">
        <v>77.640799999999999</v>
      </c>
      <c r="L270">
        <v>560038</v>
      </c>
      <c r="M270" t="s">
        <v>19</v>
      </c>
      <c r="N270" t="s">
        <v>20</v>
      </c>
      <c r="O270" t="str">
        <f t="shared" si="9"/>
        <v>Loyal Customer</v>
      </c>
    </row>
    <row r="271" spans="1:15" x14ac:dyDescent="0.25">
      <c r="A271">
        <v>26</v>
      </c>
      <c r="B271" t="str">
        <f t="shared" si="8"/>
        <v>25-29</v>
      </c>
      <c r="C271" t="s">
        <v>13</v>
      </c>
      <c r="D271" t="s">
        <v>14</v>
      </c>
      <c r="E271" t="s">
        <v>27</v>
      </c>
      <c r="F271" t="s">
        <v>31</v>
      </c>
      <c r="G271" t="s">
        <v>17</v>
      </c>
      <c r="H271">
        <v>2</v>
      </c>
      <c r="I271" t="s">
        <v>23</v>
      </c>
      <c r="J271">
        <v>12.978300000000001</v>
      </c>
      <c r="K271">
        <v>77.640799999999999</v>
      </c>
      <c r="L271">
        <v>560038</v>
      </c>
      <c r="M271" t="s">
        <v>19</v>
      </c>
      <c r="N271" t="s">
        <v>20</v>
      </c>
      <c r="O271" t="str">
        <f t="shared" si="9"/>
        <v>Loyal Customer</v>
      </c>
    </row>
    <row r="272" spans="1:15" x14ac:dyDescent="0.25">
      <c r="A272">
        <v>23</v>
      </c>
      <c r="B272" t="str">
        <f t="shared" si="8"/>
        <v>18-24</v>
      </c>
      <c r="C272" t="s">
        <v>24</v>
      </c>
      <c r="D272" t="s">
        <v>14</v>
      </c>
      <c r="E272" t="s">
        <v>27</v>
      </c>
      <c r="F272" t="s">
        <v>30</v>
      </c>
      <c r="G272" t="s">
        <v>22</v>
      </c>
      <c r="H272">
        <v>2</v>
      </c>
      <c r="I272" t="s">
        <v>23</v>
      </c>
      <c r="J272">
        <v>12.9925</v>
      </c>
      <c r="K272">
        <v>77.563299999999998</v>
      </c>
      <c r="L272">
        <v>560021</v>
      </c>
      <c r="M272" t="s">
        <v>19</v>
      </c>
      <c r="N272" t="s">
        <v>20</v>
      </c>
      <c r="O272" t="str">
        <f t="shared" si="9"/>
        <v>Loyal Customer</v>
      </c>
    </row>
    <row r="273" spans="1:15" x14ac:dyDescent="0.25">
      <c r="A273">
        <v>21</v>
      </c>
      <c r="B273" t="str">
        <f t="shared" si="8"/>
        <v>18-24</v>
      </c>
      <c r="C273" t="s">
        <v>13</v>
      </c>
      <c r="D273" t="s">
        <v>14</v>
      </c>
      <c r="E273" t="s">
        <v>27</v>
      </c>
      <c r="F273" t="s">
        <v>21</v>
      </c>
      <c r="G273" t="s">
        <v>22</v>
      </c>
      <c r="H273">
        <v>2</v>
      </c>
      <c r="I273" t="s">
        <v>23</v>
      </c>
      <c r="J273">
        <v>12.9925</v>
      </c>
      <c r="K273">
        <v>77.563299999999998</v>
      </c>
      <c r="L273">
        <v>560021</v>
      </c>
      <c r="M273" t="s">
        <v>34</v>
      </c>
      <c r="N273" t="s">
        <v>25</v>
      </c>
      <c r="O273" t="str">
        <f t="shared" si="9"/>
        <v>Churned &amp; Unhappy</v>
      </c>
    </row>
    <row r="274" spans="1:15" x14ac:dyDescent="0.25">
      <c r="A274">
        <v>25</v>
      </c>
      <c r="B274" t="str">
        <f t="shared" si="8"/>
        <v>25-29</v>
      </c>
      <c r="C274" t="s">
        <v>24</v>
      </c>
      <c r="D274" t="s">
        <v>26</v>
      </c>
      <c r="E274" t="s">
        <v>29</v>
      </c>
      <c r="F274" t="s">
        <v>31</v>
      </c>
      <c r="G274" t="s">
        <v>22</v>
      </c>
      <c r="H274">
        <v>3</v>
      </c>
      <c r="I274" t="s">
        <v>23</v>
      </c>
      <c r="J274">
        <v>12.956099999999999</v>
      </c>
      <c r="K274">
        <v>77.592100000000002</v>
      </c>
      <c r="L274">
        <v>560027</v>
      </c>
      <c r="M274" t="s">
        <v>19</v>
      </c>
      <c r="N274" t="s">
        <v>20</v>
      </c>
      <c r="O274" t="str">
        <f t="shared" si="9"/>
        <v>Loyal Customer</v>
      </c>
    </row>
    <row r="275" spans="1:15" x14ac:dyDescent="0.25">
      <c r="A275">
        <v>24</v>
      </c>
      <c r="B275" t="str">
        <f t="shared" si="8"/>
        <v>18-24</v>
      </c>
      <c r="C275" t="s">
        <v>13</v>
      </c>
      <c r="D275" t="s">
        <v>26</v>
      </c>
      <c r="E275" t="s">
        <v>27</v>
      </c>
      <c r="F275" t="s">
        <v>30</v>
      </c>
      <c r="G275" t="s">
        <v>17</v>
      </c>
      <c r="H275">
        <v>2</v>
      </c>
      <c r="I275" t="s">
        <v>23</v>
      </c>
      <c r="J275">
        <v>12.956099999999999</v>
      </c>
      <c r="K275">
        <v>77.592100000000002</v>
      </c>
      <c r="L275">
        <v>560027</v>
      </c>
      <c r="M275" t="s">
        <v>19</v>
      </c>
      <c r="N275" t="s">
        <v>20</v>
      </c>
      <c r="O275" t="str">
        <f t="shared" si="9"/>
        <v>Loyal Customer</v>
      </c>
    </row>
    <row r="276" spans="1:15" x14ac:dyDescent="0.25">
      <c r="A276">
        <v>22</v>
      </c>
      <c r="B276" t="str">
        <f t="shared" si="8"/>
        <v>18-24</v>
      </c>
      <c r="C276" t="s">
        <v>24</v>
      </c>
      <c r="D276" t="s">
        <v>26</v>
      </c>
      <c r="E276" t="s">
        <v>15</v>
      </c>
      <c r="F276" t="s">
        <v>16</v>
      </c>
      <c r="G276" t="s">
        <v>22</v>
      </c>
      <c r="H276">
        <v>2</v>
      </c>
      <c r="I276" t="s">
        <v>23</v>
      </c>
      <c r="J276">
        <v>13.073399999999999</v>
      </c>
      <c r="K276">
        <v>77.546400000000006</v>
      </c>
      <c r="L276">
        <v>560014</v>
      </c>
      <c r="M276" t="s">
        <v>19</v>
      </c>
      <c r="N276" t="s">
        <v>20</v>
      </c>
      <c r="O276" t="str">
        <f t="shared" si="9"/>
        <v>Loyal Customer</v>
      </c>
    </row>
    <row r="277" spans="1:15" x14ac:dyDescent="0.25">
      <c r="A277">
        <v>23</v>
      </c>
      <c r="B277" t="str">
        <f t="shared" si="8"/>
        <v>18-24</v>
      </c>
      <c r="C277" t="s">
        <v>13</v>
      </c>
      <c r="D277" t="s">
        <v>14</v>
      </c>
      <c r="E277" t="s">
        <v>15</v>
      </c>
      <c r="F277" t="s">
        <v>16</v>
      </c>
      <c r="G277" t="s">
        <v>17</v>
      </c>
      <c r="H277">
        <v>4</v>
      </c>
      <c r="I277" t="s">
        <v>18</v>
      </c>
      <c r="J277">
        <v>13.0487</v>
      </c>
      <c r="K277">
        <v>77.592299999999994</v>
      </c>
      <c r="L277">
        <v>560024</v>
      </c>
      <c r="M277" t="s">
        <v>19</v>
      </c>
      <c r="N277" t="s">
        <v>20</v>
      </c>
      <c r="O277" t="str">
        <f t="shared" si="9"/>
        <v>Loyal Customer</v>
      </c>
    </row>
    <row r="278" spans="1:15" x14ac:dyDescent="0.25">
      <c r="A278">
        <v>24</v>
      </c>
      <c r="B278" t="str">
        <f t="shared" si="8"/>
        <v>18-24</v>
      </c>
      <c r="C278" t="s">
        <v>24</v>
      </c>
      <c r="D278" t="s">
        <v>26</v>
      </c>
      <c r="E278" t="s">
        <v>27</v>
      </c>
      <c r="F278" t="s">
        <v>28</v>
      </c>
      <c r="G278" t="s">
        <v>17</v>
      </c>
      <c r="H278">
        <v>3</v>
      </c>
      <c r="I278" t="s">
        <v>23</v>
      </c>
      <c r="J278">
        <v>12.951499999999999</v>
      </c>
      <c r="K278">
        <v>77.492099999999994</v>
      </c>
      <c r="L278">
        <v>560056</v>
      </c>
      <c r="M278" t="s">
        <v>19</v>
      </c>
      <c r="N278" t="s">
        <v>20</v>
      </c>
      <c r="O278" t="str">
        <f t="shared" si="9"/>
        <v>Loyal Customer</v>
      </c>
    </row>
    <row r="279" spans="1:15" x14ac:dyDescent="0.25">
      <c r="A279">
        <v>22</v>
      </c>
      <c r="B279" t="str">
        <f t="shared" si="8"/>
        <v>18-24</v>
      </c>
      <c r="C279" t="s">
        <v>13</v>
      </c>
      <c r="D279" t="s">
        <v>14</v>
      </c>
      <c r="E279" t="s">
        <v>15</v>
      </c>
      <c r="F279" t="s">
        <v>16</v>
      </c>
      <c r="G279" t="s">
        <v>22</v>
      </c>
      <c r="H279">
        <v>2</v>
      </c>
      <c r="I279" t="s">
        <v>23</v>
      </c>
      <c r="J279">
        <v>12.951499999999999</v>
      </c>
      <c r="K279">
        <v>77.492099999999994</v>
      </c>
      <c r="L279">
        <v>560056</v>
      </c>
      <c r="M279" t="s">
        <v>19</v>
      </c>
      <c r="N279" t="s">
        <v>20</v>
      </c>
      <c r="O279" t="str">
        <f t="shared" si="9"/>
        <v>Loyal Customer</v>
      </c>
    </row>
    <row r="280" spans="1:15" x14ac:dyDescent="0.25">
      <c r="A280">
        <v>30</v>
      </c>
      <c r="B280" t="str">
        <f t="shared" si="8"/>
        <v>30-33</v>
      </c>
      <c r="C280" t="s">
        <v>24</v>
      </c>
      <c r="D280" t="s">
        <v>26</v>
      </c>
      <c r="E280" t="s">
        <v>27</v>
      </c>
      <c r="F280" t="s">
        <v>28</v>
      </c>
      <c r="G280" t="s">
        <v>22</v>
      </c>
      <c r="H280">
        <v>5</v>
      </c>
      <c r="I280" t="s">
        <v>18</v>
      </c>
      <c r="J280">
        <v>12.9719</v>
      </c>
      <c r="K280">
        <v>77.512799999999999</v>
      </c>
      <c r="L280">
        <v>560072</v>
      </c>
      <c r="M280" t="s">
        <v>34</v>
      </c>
      <c r="N280" t="s">
        <v>25</v>
      </c>
      <c r="O280" t="str">
        <f t="shared" si="9"/>
        <v>Churned &amp; Unhappy</v>
      </c>
    </row>
    <row r="281" spans="1:15" x14ac:dyDescent="0.25">
      <c r="A281">
        <v>23</v>
      </c>
      <c r="B281" t="str">
        <f t="shared" si="8"/>
        <v>18-24</v>
      </c>
      <c r="C281" t="s">
        <v>13</v>
      </c>
      <c r="D281" t="s">
        <v>35</v>
      </c>
      <c r="E281" t="s">
        <v>27</v>
      </c>
      <c r="F281" t="s">
        <v>30</v>
      </c>
      <c r="G281" t="s">
        <v>22</v>
      </c>
      <c r="H281">
        <v>4</v>
      </c>
      <c r="I281" t="s">
        <v>18</v>
      </c>
      <c r="J281">
        <v>12.9048</v>
      </c>
      <c r="K281">
        <v>77.682100000000005</v>
      </c>
      <c r="L281">
        <v>560036</v>
      </c>
      <c r="M281" t="s">
        <v>19</v>
      </c>
      <c r="N281" t="s">
        <v>20</v>
      </c>
      <c r="O281" t="str">
        <f t="shared" si="9"/>
        <v>Loyal Customer</v>
      </c>
    </row>
    <row r="282" spans="1:15" x14ac:dyDescent="0.25">
      <c r="A282">
        <v>19</v>
      </c>
      <c r="B282" t="str">
        <f t="shared" si="8"/>
        <v>18-24</v>
      </c>
      <c r="C282" t="s">
        <v>24</v>
      </c>
      <c r="D282" t="s">
        <v>14</v>
      </c>
      <c r="E282" t="s">
        <v>15</v>
      </c>
      <c r="F282" t="s">
        <v>16</v>
      </c>
      <c r="G282" t="s">
        <v>22</v>
      </c>
      <c r="H282">
        <v>6</v>
      </c>
      <c r="I282" t="s">
        <v>18</v>
      </c>
      <c r="J282">
        <v>12.9048</v>
      </c>
      <c r="K282">
        <v>77.682100000000005</v>
      </c>
      <c r="L282">
        <v>560036</v>
      </c>
      <c r="M282" t="s">
        <v>19</v>
      </c>
      <c r="N282" t="s">
        <v>20</v>
      </c>
      <c r="O282" t="str">
        <f t="shared" si="9"/>
        <v>Loyal Customer</v>
      </c>
    </row>
    <row r="283" spans="1:15" x14ac:dyDescent="0.25">
      <c r="A283">
        <v>21</v>
      </c>
      <c r="B283" t="str">
        <f t="shared" si="8"/>
        <v>18-24</v>
      </c>
      <c r="C283" t="s">
        <v>13</v>
      </c>
      <c r="D283" t="s">
        <v>14</v>
      </c>
      <c r="E283" t="s">
        <v>15</v>
      </c>
      <c r="F283" t="s">
        <v>16</v>
      </c>
      <c r="G283" t="s">
        <v>22</v>
      </c>
      <c r="H283">
        <v>2</v>
      </c>
      <c r="I283" t="s">
        <v>23</v>
      </c>
      <c r="J283">
        <v>13.010300000000001</v>
      </c>
      <c r="K283">
        <v>77.579599999999999</v>
      </c>
      <c r="L283">
        <v>560080</v>
      </c>
      <c r="M283" t="s">
        <v>19</v>
      </c>
      <c r="N283" t="s">
        <v>20</v>
      </c>
      <c r="O283" t="str">
        <f t="shared" si="9"/>
        <v>Loyal Customer</v>
      </c>
    </row>
    <row r="284" spans="1:15" x14ac:dyDescent="0.25">
      <c r="A284">
        <v>23</v>
      </c>
      <c r="B284" t="str">
        <f t="shared" si="8"/>
        <v>18-24</v>
      </c>
      <c r="C284" t="s">
        <v>24</v>
      </c>
      <c r="D284" t="s">
        <v>14</v>
      </c>
      <c r="E284" t="s">
        <v>15</v>
      </c>
      <c r="F284" t="s">
        <v>16</v>
      </c>
      <c r="G284" t="s">
        <v>22</v>
      </c>
      <c r="H284">
        <v>4</v>
      </c>
      <c r="I284" t="s">
        <v>18</v>
      </c>
      <c r="J284">
        <v>13.010300000000001</v>
      </c>
      <c r="K284">
        <v>77.579599999999999</v>
      </c>
      <c r="L284">
        <v>560080</v>
      </c>
      <c r="M284" t="s">
        <v>19</v>
      </c>
      <c r="N284" t="s">
        <v>20</v>
      </c>
      <c r="O284" t="str">
        <f t="shared" si="9"/>
        <v>Loyal Customer</v>
      </c>
    </row>
    <row r="285" spans="1:15" x14ac:dyDescent="0.25">
      <c r="A285">
        <v>24</v>
      </c>
      <c r="B285" t="str">
        <f t="shared" si="8"/>
        <v>18-24</v>
      </c>
      <c r="C285" t="s">
        <v>13</v>
      </c>
      <c r="D285" t="s">
        <v>14</v>
      </c>
      <c r="E285" t="s">
        <v>27</v>
      </c>
      <c r="F285" t="s">
        <v>31</v>
      </c>
      <c r="G285" t="s">
        <v>22</v>
      </c>
      <c r="H285">
        <v>3</v>
      </c>
      <c r="I285" t="s">
        <v>23</v>
      </c>
      <c r="J285">
        <v>12.8893</v>
      </c>
      <c r="K285">
        <v>77.639899999999997</v>
      </c>
      <c r="L285">
        <v>560068</v>
      </c>
      <c r="M285" t="s">
        <v>19</v>
      </c>
      <c r="N285" t="s">
        <v>20</v>
      </c>
      <c r="O285" t="str">
        <f t="shared" si="9"/>
        <v>Loyal Customer</v>
      </c>
    </row>
    <row r="286" spans="1:15" x14ac:dyDescent="0.25">
      <c r="A286">
        <v>26</v>
      </c>
      <c r="B286" t="str">
        <f t="shared" si="8"/>
        <v>25-29</v>
      </c>
      <c r="C286" t="s">
        <v>13</v>
      </c>
      <c r="D286" t="s">
        <v>26</v>
      </c>
      <c r="E286" t="s">
        <v>27</v>
      </c>
      <c r="F286" t="s">
        <v>30</v>
      </c>
      <c r="G286" t="s">
        <v>17</v>
      </c>
      <c r="H286">
        <v>2</v>
      </c>
      <c r="I286" t="s">
        <v>23</v>
      </c>
      <c r="J286">
        <v>12.982799999999999</v>
      </c>
      <c r="K286">
        <v>77.613100000000003</v>
      </c>
      <c r="L286">
        <v>560042</v>
      </c>
      <c r="M286" t="s">
        <v>34</v>
      </c>
      <c r="N286" t="s">
        <v>20</v>
      </c>
      <c r="O286" t="str">
        <f t="shared" si="9"/>
        <v>Lost Potential</v>
      </c>
    </row>
    <row r="287" spans="1:15" x14ac:dyDescent="0.25">
      <c r="A287">
        <v>26</v>
      </c>
      <c r="B287" t="str">
        <f t="shared" si="8"/>
        <v>25-29</v>
      </c>
      <c r="C287" t="s">
        <v>13</v>
      </c>
      <c r="D287" t="s">
        <v>14</v>
      </c>
      <c r="E287" t="s">
        <v>15</v>
      </c>
      <c r="F287" t="s">
        <v>16</v>
      </c>
      <c r="G287" t="s">
        <v>33</v>
      </c>
      <c r="H287">
        <v>2</v>
      </c>
      <c r="I287" t="s">
        <v>23</v>
      </c>
      <c r="J287">
        <v>12.9757</v>
      </c>
      <c r="K287">
        <v>77.558599999999998</v>
      </c>
      <c r="L287">
        <v>560023</v>
      </c>
      <c r="M287" t="s">
        <v>19</v>
      </c>
      <c r="N287" t="s">
        <v>20</v>
      </c>
      <c r="O287" t="str">
        <f t="shared" si="9"/>
        <v>Loyal Customer</v>
      </c>
    </row>
    <row r="288" spans="1:15" x14ac:dyDescent="0.25">
      <c r="A288">
        <v>25</v>
      </c>
      <c r="B288" t="str">
        <f t="shared" si="8"/>
        <v>25-29</v>
      </c>
      <c r="C288" t="s">
        <v>13</v>
      </c>
      <c r="D288" t="s">
        <v>14</v>
      </c>
      <c r="E288" t="s">
        <v>15</v>
      </c>
      <c r="F288" t="s">
        <v>30</v>
      </c>
      <c r="G288" t="s">
        <v>22</v>
      </c>
      <c r="H288">
        <v>2</v>
      </c>
      <c r="I288" t="s">
        <v>23</v>
      </c>
      <c r="J288">
        <v>12.9757</v>
      </c>
      <c r="K288">
        <v>77.558599999999998</v>
      </c>
      <c r="L288">
        <v>560023</v>
      </c>
      <c r="M288" t="s">
        <v>19</v>
      </c>
      <c r="N288" t="s">
        <v>20</v>
      </c>
      <c r="O288" t="str">
        <f t="shared" si="9"/>
        <v>Loyal Customer</v>
      </c>
    </row>
    <row r="289" spans="1:15" x14ac:dyDescent="0.25">
      <c r="A289">
        <v>28</v>
      </c>
      <c r="B289" t="str">
        <f t="shared" si="8"/>
        <v>25-29</v>
      </c>
      <c r="C289" t="s">
        <v>13</v>
      </c>
      <c r="D289" t="s">
        <v>26</v>
      </c>
      <c r="E289" t="s">
        <v>27</v>
      </c>
      <c r="F289" t="s">
        <v>31</v>
      </c>
      <c r="G289" t="s">
        <v>22</v>
      </c>
      <c r="H289">
        <v>5</v>
      </c>
      <c r="I289" t="s">
        <v>18</v>
      </c>
      <c r="J289">
        <v>12.9757</v>
      </c>
      <c r="K289">
        <v>77.558599999999998</v>
      </c>
      <c r="L289">
        <v>560023</v>
      </c>
      <c r="M289" t="s">
        <v>34</v>
      </c>
      <c r="N289" t="s">
        <v>25</v>
      </c>
      <c r="O289" t="str">
        <f t="shared" si="9"/>
        <v>Churned &amp; Unhappy</v>
      </c>
    </row>
    <row r="290" spans="1:15" x14ac:dyDescent="0.25">
      <c r="A290">
        <v>25</v>
      </c>
      <c r="B290" t="str">
        <f t="shared" si="8"/>
        <v>25-29</v>
      </c>
      <c r="C290" t="s">
        <v>13</v>
      </c>
      <c r="D290" t="s">
        <v>14</v>
      </c>
      <c r="E290" t="s">
        <v>15</v>
      </c>
      <c r="F290" t="s">
        <v>16</v>
      </c>
      <c r="G290" t="s">
        <v>17</v>
      </c>
      <c r="H290">
        <v>3</v>
      </c>
      <c r="I290" t="s">
        <v>23</v>
      </c>
      <c r="J290">
        <v>13.073399999999999</v>
      </c>
      <c r="K290">
        <v>77.546400000000006</v>
      </c>
      <c r="L290">
        <v>560014</v>
      </c>
      <c r="M290" t="s">
        <v>19</v>
      </c>
      <c r="N290" t="s">
        <v>20</v>
      </c>
      <c r="O290" t="str">
        <f t="shared" si="9"/>
        <v>Loyal Customer</v>
      </c>
    </row>
    <row r="291" spans="1:15" x14ac:dyDescent="0.25">
      <c r="A291">
        <v>20</v>
      </c>
      <c r="B291" t="str">
        <f t="shared" si="8"/>
        <v>18-24</v>
      </c>
      <c r="C291" t="s">
        <v>13</v>
      </c>
      <c r="D291" t="s">
        <v>14</v>
      </c>
      <c r="E291" t="s">
        <v>15</v>
      </c>
      <c r="F291" t="s">
        <v>16</v>
      </c>
      <c r="G291" t="s">
        <v>22</v>
      </c>
      <c r="H291">
        <v>2</v>
      </c>
      <c r="I291" t="s">
        <v>23</v>
      </c>
      <c r="J291">
        <v>13.073399999999999</v>
      </c>
      <c r="K291">
        <v>77.546400000000006</v>
      </c>
      <c r="L291">
        <v>560014</v>
      </c>
      <c r="M291" t="s">
        <v>19</v>
      </c>
      <c r="N291" t="s">
        <v>20</v>
      </c>
      <c r="O291" t="str">
        <f t="shared" si="9"/>
        <v>Loyal Customer</v>
      </c>
    </row>
    <row r="292" spans="1:15" x14ac:dyDescent="0.25">
      <c r="A292">
        <v>27</v>
      </c>
      <c r="B292" t="str">
        <f t="shared" si="8"/>
        <v>25-29</v>
      </c>
      <c r="C292" t="s">
        <v>13</v>
      </c>
      <c r="D292" t="s">
        <v>26</v>
      </c>
      <c r="E292" t="s">
        <v>29</v>
      </c>
      <c r="F292" t="s">
        <v>28</v>
      </c>
      <c r="G292" t="s">
        <v>22</v>
      </c>
      <c r="H292">
        <v>6</v>
      </c>
      <c r="I292" t="s">
        <v>18</v>
      </c>
      <c r="J292">
        <v>13.073399999999999</v>
      </c>
      <c r="K292">
        <v>77.546400000000006</v>
      </c>
      <c r="L292">
        <v>560014</v>
      </c>
      <c r="M292" t="s">
        <v>34</v>
      </c>
      <c r="N292" t="s">
        <v>20</v>
      </c>
      <c r="O292" t="str">
        <f t="shared" si="9"/>
        <v>Lost Potential</v>
      </c>
    </row>
    <row r="293" spans="1:15" x14ac:dyDescent="0.25">
      <c r="A293">
        <v>25</v>
      </c>
      <c r="B293" t="str">
        <f t="shared" si="8"/>
        <v>25-29</v>
      </c>
      <c r="C293" t="s">
        <v>13</v>
      </c>
      <c r="D293" t="s">
        <v>26</v>
      </c>
      <c r="E293" t="s">
        <v>27</v>
      </c>
      <c r="F293" t="s">
        <v>31</v>
      </c>
      <c r="G293" t="s">
        <v>22</v>
      </c>
      <c r="H293">
        <v>3</v>
      </c>
      <c r="I293" t="s">
        <v>23</v>
      </c>
      <c r="J293">
        <v>13.0626</v>
      </c>
      <c r="K293">
        <v>77.528400000000005</v>
      </c>
      <c r="L293">
        <v>560015</v>
      </c>
      <c r="M293" t="s">
        <v>34</v>
      </c>
      <c r="N293" t="s">
        <v>20</v>
      </c>
      <c r="O293" t="str">
        <f t="shared" si="9"/>
        <v>Lost Potential</v>
      </c>
    </row>
    <row r="294" spans="1:15" x14ac:dyDescent="0.25">
      <c r="A294">
        <v>24</v>
      </c>
      <c r="B294" t="str">
        <f t="shared" si="8"/>
        <v>18-24</v>
      </c>
      <c r="C294" t="s">
        <v>13</v>
      </c>
      <c r="D294" t="s">
        <v>14</v>
      </c>
      <c r="E294" t="s">
        <v>15</v>
      </c>
      <c r="F294" t="s">
        <v>16</v>
      </c>
      <c r="G294" t="s">
        <v>17</v>
      </c>
      <c r="H294">
        <v>5</v>
      </c>
      <c r="I294" t="s">
        <v>18</v>
      </c>
      <c r="J294">
        <v>13.0626</v>
      </c>
      <c r="K294">
        <v>77.528400000000005</v>
      </c>
      <c r="L294">
        <v>560015</v>
      </c>
      <c r="M294" t="s">
        <v>34</v>
      </c>
      <c r="N294" t="s">
        <v>25</v>
      </c>
      <c r="O294" t="str">
        <f t="shared" si="9"/>
        <v>Churned &amp; Unhappy</v>
      </c>
    </row>
    <row r="295" spans="1:15" x14ac:dyDescent="0.25">
      <c r="A295">
        <v>25</v>
      </c>
      <c r="B295" t="str">
        <f t="shared" si="8"/>
        <v>25-29</v>
      </c>
      <c r="C295" t="s">
        <v>13</v>
      </c>
      <c r="D295" t="s">
        <v>26</v>
      </c>
      <c r="E295" t="s">
        <v>27</v>
      </c>
      <c r="F295" t="s">
        <v>28</v>
      </c>
      <c r="G295" t="s">
        <v>22</v>
      </c>
      <c r="H295">
        <v>1</v>
      </c>
      <c r="I295" t="s">
        <v>32</v>
      </c>
      <c r="J295">
        <v>12.977</v>
      </c>
      <c r="K295">
        <v>77.577299999999994</v>
      </c>
      <c r="L295">
        <v>560009</v>
      </c>
      <c r="M295" t="s">
        <v>34</v>
      </c>
      <c r="N295" t="s">
        <v>25</v>
      </c>
      <c r="O295" t="str">
        <f t="shared" si="9"/>
        <v>Churned &amp; Unhappy</v>
      </c>
    </row>
    <row r="296" spans="1:15" x14ac:dyDescent="0.25">
      <c r="A296">
        <v>25</v>
      </c>
      <c r="B296" t="str">
        <f t="shared" si="8"/>
        <v>25-29</v>
      </c>
      <c r="C296" t="s">
        <v>13</v>
      </c>
      <c r="D296" t="s">
        <v>35</v>
      </c>
      <c r="E296" t="s">
        <v>27</v>
      </c>
      <c r="F296" t="s">
        <v>31</v>
      </c>
      <c r="G296" t="s">
        <v>17</v>
      </c>
      <c r="H296">
        <v>3</v>
      </c>
      <c r="I296" t="s">
        <v>23</v>
      </c>
      <c r="J296">
        <v>12.997999999999999</v>
      </c>
      <c r="K296">
        <v>77.622699999999995</v>
      </c>
      <c r="L296">
        <v>560005</v>
      </c>
      <c r="M296" t="s">
        <v>34</v>
      </c>
      <c r="N296" t="s">
        <v>25</v>
      </c>
      <c r="O296" t="str">
        <f t="shared" si="9"/>
        <v>Churned &amp; Unhappy</v>
      </c>
    </row>
    <row r="297" spans="1:15" x14ac:dyDescent="0.25">
      <c r="A297">
        <v>24</v>
      </c>
      <c r="B297" t="str">
        <f t="shared" si="8"/>
        <v>18-24</v>
      </c>
      <c r="C297" t="s">
        <v>13</v>
      </c>
      <c r="D297" t="s">
        <v>26</v>
      </c>
      <c r="E297" t="s">
        <v>15</v>
      </c>
      <c r="F297" t="s">
        <v>21</v>
      </c>
      <c r="G297" t="s">
        <v>33</v>
      </c>
      <c r="H297">
        <v>5</v>
      </c>
      <c r="I297" t="s">
        <v>18</v>
      </c>
      <c r="J297">
        <v>13.0626</v>
      </c>
      <c r="K297">
        <v>77.528400000000005</v>
      </c>
      <c r="L297">
        <v>560015</v>
      </c>
      <c r="M297" t="s">
        <v>19</v>
      </c>
      <c r="N297" t="s">
        <v>20</v>
      </c>
      <c r="O297" t="str">
        <f t="shared" si="9"/>
        <v>Loyal Customer</v>
      </c>
    </row>
    <row r="298" spans="1:15" x14ac:dyDescent="0.25">
      <c r="A298">
        <v>24</v>
      </c>
      <c r="B298" t="str">
        <f t="shared" si="8"/>
        <v>18-24</v>
      </c>
      <c r="C298" t="s">
        <v>24</v>
      </c>
      <c r="D298" t="s">
        <v>14</v>
      </c>
      <c r="E298" t="s">
        <v>15</v>
      </c>
      <c r="F298" t="s">
        <v>16</v>
      </c>
      <c r="G298" t="s">
        <v>17</v>
      </c>
      <c r="H298">
        <v>3</v>
      </c>
      <c r="I298" t="s">
        <v>23</v>
      </c>
      <c r="J298">
        <v>13.0626</v>
      </c>
      <c r="K298">
        <v>77.528400000000005</v>
      </c>
      <c r="L298">
        <v>560015</v>
      </c>
      <c r="M298" t="s">
        <v>19</v>
      </c>
      <c r="N298" t="s">
        <v>20</v>
      </c>
      <c r="O298" t="str">
        <f t="shared" si="9"/>
        <v>Loyal Customer</v>
      </c>
    </row>
    <row r="299" spans="1:15" x14ac:dyDescent="0.25">
      <c r="A299">
        <v>22</v>
      </c>
      <c r="B299" t="str">
        <f t="shared" si="8"/>
        <v>18-24</v>
      </c>
      <c r="C299" t="s">
        <v>24</v>
      </c>
      <c r="D299" t="s">
        <v>14</v>
      </c>
      <c r="E299" t="s">
        <v>27</v>
      </c>
      <c r="F299" t="s">
        <v>30</v>
      </c>
      <c r="G299" t="s">
        <v>22</v>
      </c>
      <c r="H299">
        <v>1</v>
      </c>
      <c r="I299" t="s">
        <v>32</v>
      </c>
      <c r="J299">
        <v>13.0138</v>
      </c>
      <c r="K299">
        <v>77.587699999999998</v>
      </c>
      <c r="L299">
        <v>560006</v>
      </c>
      <c r="M299" t="s">
        <v>19</v>
      </c>
      <c r="N299" t="s">
        <v>20</v>
      </c>
      <c r="O299" t="str">
        <f t="shared" si="9"/>
        <v>Loyal Customer</v>
      </c>
    </row>
    <row r="300" spans="1:15" x14ac:dyDescent="0.25">
      <c r="A300">
        <v>28</v>
      </c>
      <c r="B300" t="str">
        <f t="shared" si="8"/>
        <v>25-29</v>
      </c>
      <c r="C300" t="s">
        <v>24</v>
      </c>
      <c r="D300" t="s">
        <v>14</v>
      </c>
      <c r="E300" t="s">
        <v>27</v>
      </c>
      <c r="F300" t="s">
        <v>31</v>
      </c>
      <c r="G300" t="s">
        <v>17</v>
      </c>
      <c r="H300">
        <v>2</v>
      </c>
      <c r="I300" t="s">
        <v>23</v>
      </c>
      <c r="J300">
        <v>13.0138</v>
      </c>
      <c r="K300">
        <v>77.587699999999998</v>
      </c>
      <c r="L300">
        <v>560006</v>
      </c>
      <c r="M300" t="s">
        <v>34</v>
      </c>
      <c r="N300" t="s">
        <v>25</v>
      </c>
      <c r="O300" t="str">
        <f t="shared" si="9"/>
        <v>Churned &amp; Unhappy</v>
      </c>
    </row>
    <row r="301" spans="1:15" x14ac:dyDescent="0.25">
      <c r="A301">
        <v>25</v>
      </c>
      <c r="B301" t="str">
        <f t="shared" si="8"/>
        <v>25-29</v>
      </c>
      <c r="C301" t="s">
        <v>13</v>
      </c>
      <c r="D301" t="s">
        <v>14</v>
      </c>
      <c r="E301" t="s">
        <v>27</v>
      </c>
      <c r="F301" t="s">
        <v>28</v>
      </c>
      <c r="G301" t="s">
        <v>17</v>
      </c>
      <c r="H301">
        <v>6</v>
      </c>
      <c r="I301" t="s">
        <v>18</v>
      </c>
      <c r="J301">
        <v>13.013999999999999</v>
      </c>
      <c r="K301">
        <v>77.565799999999996</v>
      </c>
      <c r="L301">
        <v>560012</v>
      </c>
      <c r="M301" t="s">
        <v>34</v>
      </c>
      <c r="N301" t="s">
        <v>25</v>
      </c>
      <c r="O301" t="str">
        <f t="shared" si="9"/>
        <v>Churned &amp; Unhappy</v>
      </c>
    </row>
    <row r="302" spans="1:15" x14ac:dyDescent="0.25">
      <c r="A302">
        <v>22</v>
      </c>
      <c r="B302" t="str">
        <f t="shared" si="8"/>
        <v>18-24</v>
      </c>
      <c r="C302" t="s">
        <v>24</v>
      </c>
      <c r="D302" t="s">
        <v>14</v>
      </c>
      <c r="E302" t="s">
        <v>15</v>
      </c>
      <c r="F302" t="s">
        <v>21</v>
      </c>
      <c r="G302" t="s">
        <v>17</v>
      </c>
      <c r="H302">
        <v>3</v>
      </c>
      <c r="I302" t="s">
        <v>23</v>
      </c>
      <c r="J302">
        <v>12.9551</v>
      </c>
      <c r="K302">
        <v>77.659300000000002</v>
      </c>
      <c r="L302">
        <v>560017</v>
      </c>
      <c r="M302" t="s">
        <v>19</v>
      </c>
      <c r="N302" t="s">
        <v>25</v>
      </c>
      <c r="O302" t="str">
        <f t="shared" si="9"/>
        <v>Churned &amp; Unhappy</v>
      </c>
    </row>
    <row r="303" spans="1:15" x14ac:dyDescent="0.25">
      <c r="A303">
        <v>22</v>
      </c>
      <c r="B303" t="str">
        <f t="shared" si="8"/>
        <v>18-24</v>
      </c>
      <c r="C303" t="s">
        <v>13</v>
      </c>
      <c r="D303" t="s">
        <v>14</v>
      </c>
      <c r="E303" t="s">
        <v>15</v>
      </c>
      <c r="F303" t="s">
        <v>16</v>
      </c>
      <c r="G303" t="s">
        <v>22</v>
      </c>
      <c r="H303">
        <v>6</v>
      </c>
      <c r="I303" t="s">
        <v>18</v>
      </c>
      <c r="J303">
        <v>12.9473</v>
      </c>
      <c r="K303">
        <v>77.561599999999999</v>
      </c>
      <c r="L303">
        <v>560019</v>
      </c>
      <c r="M303" t="s">
        <v>19</v>
      </c>
      <c r="N303" t="s">
        <v>20</v>
      </c>
      <c r="O303" t="str">
        <f t="shared" si="9"/>
        <v>Loyal Customer</v>
      </c>
    </row>
    <row r="304" spans="1:15" x14ac:dyDescent="0.25">
      <c r="A304">
        <v>22</v>
      </c>
      <c r="B304" t="str">
        <f t="shared" si="8"/>
        <v>18-24</v>
      </c>
      <c r="C304" t="s">
        <v>24</v>
      </c>
      <c r="D304" t="s">
        <v>14</v>
      </c>
      <c r="E304" t="s">
        <v>15</v>
      </c>
      <c r="F304" t="s">
        <v>21</v>
      </c>
      <c r="G304" t="s">
        <v>17</v>
      </c>
      <c r="H304">
        <v>4</v>
      </c>
      <c r="I304" t="s">
        <v>18</v>
      </c>
      <c r="J304">
        <v>12.984999999999999</v>
      </c>
      <c r="K304">
        <v>77.553299999999993</v>
      </c>
      <c r="L304">
        <v>560010</v>
      </c>
      <c r="M304" t="s">
        <v>19</v>
      </c>
      <c r="N304" t="s">
        <v>20</v>
      </c>
      <c r="O304" t="str">
        <f t="shared" si="9"/>
        <v>Loyal Customer</v>
      </c>
    </row>
    <row r="305" spans="1:15" x14ac:dyDescent="0.25">
      <c r="A305">
        <v>27</v>
      </c>
      <c r="B305" t="str">
        <f t="shared" si="8"/>
        <v>25-29</v>
      </c>
      <c r="C305" t="s">
        <v>13</v>
      </c>
      <c r="D305" t="s">
        <v>26</v>
      </c>
      <c r="E305" t="s">
        <v>27</v>
      </c>
      <c r="F305" t="s">
        <v>28</v>
      </c>
      <c r="G305" t="s">
        <v>17</v>
      </c>
      <c r="H305">
        <v>2</v>
      </c>
      <c r="I305" t="s">
        <v>23</v>
      </c>
      <c r="J305">
        <v>12.9299</v>
      </c>
      <c r="K305">
        <v>77.684799999999996</v>
      </c>
      <c r="L305">
        <v>560103</v>
      </c>
      <c r="M305" t="s">
        <v>19</v>
      </c>
      <c r="N305" t="s">
        <v>20</v>
      </c>
      <c r="O305" t="str">
        <f t="shared" si="9"/>
        <v>Loyal Customer</v>
      </c>
    </row>
    <row r="306" spans="1:15" x14ac:dyDescent="0.25">
      <c r="A306">
        <v>22</v>
      </c>
      <c r="B306" t="str">
        <f t="shared" si="8"/>
        <v>18-24</v>
      </c>
      <c r="C306" t="s">
        <v>24</v>
      </c>
      <c r="D306" t="s">
        <v>14</v>
      </c>
      <c r="E306" t="s">
        <v>15</v>
      </c>
      <c r="F306" t="s">
        <v>16</v>
      </c>
      <c r="G306" t="s">
        <v>22</v>
      </c>
      <c r="H306">
        <v>3</v>
      </c>
      <c r="I306" t="s">
        <v>23</v>
      </c>
      <c r="J306">
        <v>12.977</v>
      </c>
      <c r="K306">
        <v>77.577299999999994</v>
      </c>
      <c r="L306">
        <v>560009</v>
      </c>
      <c r="M306" t="s">
        <v>19</v>
      </c>
      <c r="N306" t="s">
        <v>20</v>
      </c>
      <c r="O306" t="str">
        <f t="shared" si="9"/>
        <v>Loyal Customer</v>
      </c>
    </row>
    <row r="307" spans="1:15" x14ac:dyDescent="0.25">
      <c r="A307">
        <v>24</v>
      </c>
      <c r="B307" t="str">
        <f t="shared" si="8"/>
        <v>18-24</v>
      </c>
      <c r="C307" t="s">
        <v>13</v>
      </c>
      <c r="D307" t="s">
        <v>14</v>
      </c>
      <c r="E307" t="s">
        <v>15</v>
      </c>
      <c r="F307" t="s">
        <v>16</v>
      </c>
      <c r="G307" t="s">
        <v>17</v>
      </c>
      <c r="H307">
        <v>3</v>
      </c>
      <c r="I307" t="s">
        <v>23</v>
      </c>
      <c r="J307">
        <v>12.982799999999999</v>
      </c>
      <c r="K307">
        <v>77.613100000000003</v>
      </c>
      <c r="L307">
        <v>560042</v>
      </c>
      <c r="M307" t="s">
        <v>19</v>
      </c>
      <c r="N307" t="s">
        <v>20</v>
      </c>
      <c r="O307" t="str">
        <f t="shared" si="9"/>
        <v>Loyal Customer</v>
      </c>
    </row>
    <row r="308" spans="1:15" x14ac:dyDescent="0.25">
      <c r="A308">
        <v>23</v>
      </c>
      <c r="B308" t="str">
        <f t="shared" si="8"/>
        <v>18-24</v>
      </c>
      <c r="C308" t="s">
        <v>13</v>
      </c>
      <c r="D308" t="s">
        <v>14</v>
      </c>
      <c r="E308" t="s">
        <v>15</v>
      </c>
      <c r="F308" t="s">
        <v>16</v>
      </c>
      <c r="G308" t="s">
        <v>17</v>
      </c>
      <c r="H308">
        <v>2</v>
      </c>
      <c r="I308" t="s">
        <v>23</v>
      </c>
      <c r="J308">
        <v>12.976599999999999</v>
      </c>
      <c r="K308">
        <v>77.599299999999999</v>
      </c>
      <c r="L308">
        <v>560001</v>
      </c>
      <c r="M308" t="s">
        <v>19</v>
      </c>
      <c r="N308" t="s">
        <v>20</v>
      </c>
      <c r="O308" t="str">
        <f t="shared" si="9"/>
        <v>Loyal Customer</v>
      </c>
    </row>
    <row r="309" spans="1:15" x14ac:dyDescent="0.25">
      <c r="A309">
        <v>23</v>
      </c>
      <c r="B309" t="str">
        <f t="shared" si="8"/>
        <v>18-24</v>
      </c>
      <c r="C309" t="s">
        <v>13</v>
      </c>
      <c r="D309" t="s">
        <v>14</v>
      </c>
      <c r="E309" t="s">
        <v>15</v>
      </c>
      <c r="F309" t="s">
        <v>16</v>
      </c>
      <c r="G309" t="s">
        <v>17</v>
      </c>
      <c r="H309">
        <v>4</v>
      </c>
      <c r="I309" t="s">
        <v>18</v>
      </c>
      <c r="J309">
        <v>12.9854</v>
      </c>
      <c r="K309">
        <v>77.708100000000002</v>
      </c>
      <c r="L309">
        <v>560048</v>
      </c>
      <c r="M309" t="s">
        <v>19</v>
      </c>
      <c r="N309" t="s">
        <v>20</v>
      </c>
      <c r="O309" t="str">
        <f t="shared" si="9"/>
        <v>Loyal Customer</v>
      </c>
    </row>
    <row r="310" spans="1:15" x14ac:dyDescent="0.25">
      <c r="A310">
        <v>22</v>
      </c>
      <c r="B310" t="str">
        <f t="shared" si="8"/>
        <v>18-24</v>
      </c>
      <c r="C310" t="s">
        <v>13</v>
      </c>
      <c r="D310" t="s">
        <v>14</v>
      </c>
      <c r="E310" t="s">
        <v>15</v>
      </c>
      <c r="F310" t="s">
        <v>16</v>
      </c>
      <c r="G310" t="s">
        <v>17</v>
      </c>
      <c r="H310">
        <v>5</v>
      </c>
      <c r="I310" t="s">
        <v>18</v>
      </c>
      <c r="J310">
        <v>12.984999999999999</v>
      </c>
      <c r="K310">
        <v>77.553299999999993</v>
      </c>
      <c r="L310">
        <v>560010</v>
      </c>
      <c r="M310" t="s">
        <v>19</v>
      </c>
      <c r="N310" t="s">
        <v>20</v>
      </c>
      <c r="O310" t="str">
        <f t="shared" si="9"/>
        <v>Loyal Customer</v>
      </c>
    </row>
    <row r="311" spans="1:15" x14ac:dyDescent="0.25">
      <c r="A311">
        <v>23</v>
      </c>
      <c r="B311" t="str">
        <f t="shared" si="8"/>
        <v>18-24</v>
      </c>
      <c r="C311" t="s">
        <v>24</v>
      </c>
      <c r="D311" t="s">
        <v>14</v>
      </c>
      <c r="E311" t="s">
        <v>15</v>
      </c>
      <c r="F311" t="s">
        <v>21</v>
      </c>
      <c r="G311" t="s">
        <v>17</v>
      </c>
      <c r="H311">
        <v>2</v>
      </c>
      <c r="I311" t="s">
        <v>23</v>
      </c>
      <c r="J311">
        <v>12.977</v>
      </c>
      <c r="K311">
        <v>77.577299999999994</v>
      </c>
      <c r="L311">
        <v>560009</v>
      </c>
      <c r="M311" t="s">
        <v>19</v>
      </c>
      <c r="N311" t="s">
        <v>25</v>
      </c>
      <c r="O311" t="str">
        <f t="shared" si="9"/>
        <v>Churned &amp; Unhappy</v>
      </c>
    </row>
    <row r="312" spans="1:15" x14ac:dyDescent="0.25">
      <c r="A312">
        <v>32</v>
      </c>
      <c r="B312" t="str">
        <f t="shared" si="8"/>
        <v>30-33</v>
      </c>
      <c r="C312" t="s">
        <v>24</v>
      </c>
      <c r="D312" t="s">
        <v>26</v>
      </c>
      <c r="E312" t="s">
        <v>27</v>
      </c>
      <c r="F312" t="s">
        <v>28</v>
      </c>
      <c r="G312" t="s">
        <v>22</v>
      </c>
      <c r="H312">
        <v>5</v>
      </c>
      <c r="I312" t="s">
        <v>18</v>
      </c>
      <c r="J312">
        <v>12.903700000000001</v>
      </c>
      <c r="K312">
        <v>77.537599999999998</v>
      </c>
      <c r="L312">
        <v>560061</v>
      </c>
      <c r="M312" t="s">
        <v>19</v>
      </c>
      <c r="N312" t="s">
        <v>20</v>
      </c>
      <c r="O312" t="str">
        <f t="shared" si="9"/>
        <v>Loyal Customer</v>
      </c>
    </row>
    <row r="313" spans="1:15" x14ac:dyDescent="0.25">
      <c r="A313">
        <v>25</v>
      </c>
      <c r="B313" t="str">
        <f t="shared" si="8"/>
        <v>25-29</v>
      </c>
      <c r="C313" t="s">
        <v>13</v>
      </c>
      <c r="D313" t="s">
        <v>26</v>
      </c>
      <c r="E313" t="s">
        <v>15</v>
      </c>
      <c r="F313" t="s">
        <v>16</v>
      </c>
      <c r="G313" t="s">
        <v>17</v>
      </c>
      <c r="H313">
        <v>2</v>
      </c>
      <c r="I313" t="s">
        <v>23</v>
      </c>
      <c r="J313">
        <v>12.8834</v>
      </c>
      <c r="K313">
        <v>77.548599999999993</v>
      </c>
      <c r="L313">
        <v>560062</v>
      </c>
      <c r="M313" t="s">
        <v>19</v>
      </c>
      <c r="N313" t="s">
        <v>20</v>
      </c>
      <c r="O313" t="str">
        <f t="shared" si="9"/>
        <v>Loyal Customer</v>
      </c>
    </row>
    <row r="314" spans="1:15" x14ac:dyDescent="0.25">
      <c r="A314">
        <v>28</v>
      </c>
      <c r="B314" t="str">
        <f t="shared" si="8"/>
        <v>25-29</v>
      </c>
      <c r="C314" t="s">
        <v>24</v>
      </c>
      <c r="D314" t="s">
        <v>14</v>
      </c>
      <c r="E314" t="s">
        <v>29</v>
      </c>
      <c r="F314" t="s">
        <v>30</v>
      </c>
      <c r="G314" t="s">
        <v>17</v>
      </c>
      <c r="H314">
        <v>2</v>
      </c>
      <c r="I314" t="s">
        <v>23</v>
      </c>
      <c r="J314">
        <v>12.914899999999999</v>
      </c>
      <c r="K314">
        <v>77.563500000000005</v>
      </c>
      <c r="L314">
        <v>560070</v>
      </c>
      <c r="M314" t="s">
        <v>19</v>
      </c>
      <c r="N314" t="s">
        <v>20</v>
      </c>
      <c r="O314" t="str">
        <f t="shared" si="9"/>
        <v>Loyal Customer</v>
      </c>
    </row>
    <row r="315" spans="1:15" x14ac:dyDescent="0.25">
      <c r="A315">
        <v>21</v>
      </c>
      <c r="B315" t="str">
        <f t="shared" si="8"/>
        <v>18-24</v>
      </c>
      <c r="C315" t="s">
        <v>13</v>
      </c>
      <c r="D315" t="s">
        <v>14</v>
      </c>
      <c r="E315" t="s">
        <v>15</v>
      </c>
      <c r="F315" t="s">
        <v>16</v>
      </c>
      <c r="G315" t="s">
        <v>17</v>
      </c>
      <c r="H315">
        <v>3</v>
      </c>
      <c r="I315" t="s">
        <v>23</v>
      </c>
      <c r="J315">
        <v>12.914899999999999</v>
      </c>
      <c r="K315">
        <v>77.563500000000005</v>
      </c>
      <c r="L315">
        <v>560070</v>
      </c>
      <c r="M315" t="s">
        <v>19</v>
      </c>
      <c r="N315" t="s">
        <v>20</v>
      </c>
      <c r="O315" t="str">
        <f t="shared" si="9"/>
        <v>Loyal Customer</v>
      </c>
    </row>
    <row r="316" spans="1:15" x14ac:dyDescent="0.25">
      <c r="A316">
        <v>24</v>
      </c>
      <c r="B316" t="str">
        <f t="shared" si="8"/>
        <v>18-24</v>
      </c>
      <c r="C316" t="s">
        <v>24</v>
      </c>
      <c r="D316" t="s">
        <v>14</v>
      </c>
      <c r="E316" t="s">
        <v>15</v>
      </c>
      <c r="F316" t="s">
        <v>16</v>
      </c>
      <c r="G316" t="s">
        <v>17</v>
      </c>
      <c r="H316">
        <v>2</v>
      </c>
      <c r="I316" t="s">
        <v>23</v>
      </c>
      <c r="J316">
        <v>12.970599999999999</v>
      </c>
      <c r="K316">
        <v>77.652900000000002</v>
      </c>
      <c r="L316">
        <v>560075</v>
      </c>
      <c r="M316" t="s">
        <v>19</v>
      </c>
      <c r="N316" t="s">
        <v>20</v>
      </c>
      <c r="O316" t="str">
        <f t="shared" si="9"/>
        <v>Loyal Customer</v>
      </c>
    </row>
    <row r="317" spans="1:15" x14ac:dyDescent="0.25">
      <c r="A317">
        <v>26</v>
      </c>
      <c r="B317" t="str">
        <f t="shared" si="8"/>
        <v>25-29</v>
      </c>
      <c r="C317" t="s">
        <v>13</v>
      </c>
      <c r="D317" t="s">
        <v>26</v>
      </c>
      <c r="E317" t="s">
        <v>29</v>
      </c>
      <c r="F317" t="s">
        <v>30</v>
      </c>
      <c r="G317" t="s">
        <v>22</v>
      </c>
      <c r="H317">
        <v>5</v>
      </c>
      <c r="I317" t="s">
        <v>18</v>
      </c>
      <c r="J317">
        <v>12.970599999999999</v>
      </c>
      <c r="K317">
        <v>77.652900000000002</v>
      </c>
      <c r="L317">
        <v>560075</v>
      </c>
      <c r="M317" t="s">
        <v>34</v>
      </c>
      <c r="N317" t="s">
        <v>25</v>
      </c>
      <c r="O317" t="str">
        <f t="shared" si="9"/>
        <v>Churned &amp; Unhappy</v>
      </c>
    </row>
    <row r="318" spans="1:15" x14ac:dyDescent="0.25">
      <c r="A318">
        <v>32</v>
      </c>
      <c r="B318" t="str">
        <f t="shared" si="8"/>
        <v>30-33</v>
      </c>
      <c r="C318" t="s">
        <v>24</v>
      </c>
      <c r="D318" t="s">
        <v>26</v>
      </c>
      <c r="E318" t="s">
        <v>27</v>
      </c>
      <c r="F318" t="s">
        <v>31</v>
      </c>
      <c r="G318" t="s">
        <v>22</v>
      </c>
      <c r="H318">
        <v>3</v>
      </c>
      <c r="I318" t="s">
        <v>23</v>
      </c>
      <c r="J318">
        <v>12.970599999999999</v>
      </c>
      <c r="K318">
        <v>77.652900000000002</v>
      </c>
      <c r="L318">
        <v>560075</v>
      </c>
      <c r="M318" t="s">
        <v>19</v>
      </c>
      <c r="N318" t="s">
        <v>20</v>
      </c>
      <c r="O318" t="str">
        <f t="shared" si="9"/>
        <v>Loyal Customer</v>
      </c>
    </row>
    <row r="319" spans="1:15" x14ac:dyDescent="0.25">
      <c r="A319">
        <v>29</v>
      </c>
      <c r="B319" t="str">
        <f t="shared" si="8"/>
        <v>25-29</v>
      </c>
      <c r="C319" t="s">
        <v>24</v>
      </c>
      <c r="D319" t="s">
        <v>14</v>
      </c>
      <c r="E319" t="s">
        <v>29</v>
      </c>
      <c r="F319" t="s">
        <v>28</v>
      </c>
      <c r="G319" t="s">
        <v>22</v>
      </c>
      <c r="H319">
        <v>6</v>
      </c>
      <c r="I319" t="s">
        <v>18</v>
      </c>
      <c r="J319">
        <v>12.884499999999999</v>
      </c>
      <c r="K319">
        <v>77.6036</v>
      </c>
      <c r="L319">
        <v>560076</v>
      </c>
      <c r="M319" t="s">
        <v>19</v>
      </c>
      <c r="N319" t="s">
        <v>20</v>
      </c>
      <c r="O319" t="str">
        <f t="shared" si="9"/>
        <v>Loyal Customer</v>
      </c>
    </row>
    <row r="320" spans="1:15" x14ac:dyDescent="0.25">
      <c r="A320">
        <v>21</v>
      </c>
      <c r="B320" t="str">
        <f t="shared" si="8"/>
        <v>18-24</v>
      </c>
      <c r="C320" t="s">
        <v>24</v>
      </c>
      <c r="D320" t="s">
        <v>14</v>
      </c>
      <c r="E320" t="s">
        <v>15</v>
      </c>
      <c r="F320" t="s">
        <v>16</v>
      </c>
      <c r="G320" t="s">
        <v>22</v>
      </c>
      <c r="H320">
        <v>5</v>
      </c>
      <c r="I320" t="s">
        <v>18</v>
      </c>
      <c r="J320">
        <v>12.978300000000001</v>
      </c>
      <c r="K320">
        <v>77.640799999999999</v>
      </c>
      <c r="L320">
        <v>560038</v>
      </c>
      <c r="M320" t="s">
        <v>19</v>
      </c>
      <c r="N320" t="s">
        <v>20</v>
      </c>
      <c r="O320" t="str">
        <f t="shared" si="9"/>
        <v>Loyal Customer</v>
      </c>
    </row>
    <row r="321" spans="1:15" x14ac:dyDescent="0.25">
      <c r="A321">
        <v>24</v>
      </c>
      <c r="B321" t="str">
        <f t="shared" si="8"/>
        <v>18-24</v>
      </c>
      <c r="C321" t="s">
        <v>13</v>
      </c>
      <c r="D321" t="s">
        <v>14</v>
      </c>
      <c r="E321" t="s">
        <v>29</v>
      </c>
      <c r="F321" t="s">
        <v>31</v>
      </c>
      <c r="G321" t="s">
        <v>17</v>
      </c>
      <c r="H321">
        <v>3</v>
      </c>
      <c r="I321" t="s">
        <v>23</v>
      </c>
      <c r="J321">
        <v>13.010300000000001</v>
      </c>
      <c r="K321">
        <v>77.579599999999999</v>
      </c>
      <c r="L321">
        <v>560080</v>
      </c>
      <c r="M321" t="s">
        <v>34</v>
      </c>
      <c r="N321" t="s">
        <v>25</v>
      </c>
      <c r="O321" t="str">
        <f t="shared" si="9"/>
        <v>Churned &amp; Unhappy</v>
      </c>
    </row>
    <row r="322" spans="1:15" x14ac:dyDescent="0.25">
      <c r="A322">
        <v>26</v>
      </c>
      <c r="B322" t="str">
        <f t="shared" si="8"/>
        <v>25-29</v>
      </c>
      <c r="C322" t="s">
        <v>24</v>
      </c>
      <c r="D322" t="s">
        <v>35</v>
      </c>
      <c r="E322" t="s">
        <v>29</v>
      </c>
      <c r="F322" t="s">
        <v>28</v>
      </c>
      <c r="G322" t="s">
        <v>17</v>
      </c>
      <c r="H322">
        <v>2</v>
      </c>
      <c r="I322" t="s">
        <v>23</v>
      </c>
      <c r="J322">
        <v>13.010300000000001</v>
      </c>
      <c r="K322">
        <v>77.579599999999999</v>
      </c>
      <c r="L322">
        <v>560080</v>
      </c>
      <c r="M322" t="s">
        <v>19</v>
      </c>
      <c r="N322" t="s">
        <v>20</v>
      </c>
      <c r="O322" t="str">
        <f t="shared" si="9"/>
        <v>Loyal Customer</v>
      </c>
    </row>
    <row r="323" spans="1:15" x14ac:dyDescent="0.25">
      <c r="A323">
        <v>21</v>
      </c>
      <c r="B323" t="str">
        <f t="shared" ref="B323:B386" si="10">IF(A323&lt;18, "Under 18", IF(A323&lt;=24, "18-24", IF(A323&lt;=29, "25-29", IF(A323&lt;=33, "30-33", "34+"))))</f>
        <v>18-24</v>
      </c>
      <c r="C323" t="s">
        <v>24</v>
      </c>
      <c r="D323" t="s">
        <v>26</v>
      </c>
      <c r="E323" t="s">
        <v>27</v>
      </c>
      <c r="F323" t="s">
        <v>28</v>
      </c>
      <c r="G323" t="s">
        <v>33</v>
      </c>
      <c r="H323">
        <v>3</v>
      </c>
      <c r="I323" t="s">
        <v>23</v>
      </c>
      <c r="J323">
        <v>12.9306</v>
      </c>
      <c r="K323">
        <v>77.543400000000005</v>
      </c>
      <c r="L323">
        <v>560085</v>
      </c>
      <c r="M323" t="s">
        <v>19</v>
      </c>
      <c r="N323" t="s">
        <v>20</v>
      </c>
      <c r="O323" t="str">
        <f t="shared" ref="O323:O386" si="11">IF(AND(M323="Yes",N323="Positive"),"Loyal Customer",
 IF(AND(M323="Yes",N323="Negative"),"At Risk",
 IF(AND(M323="No",N323="Positive"),"Lost Potential","Churned &amp; Unhappy")))</f>
        <v>Loyal Customer</v>
      </c>
    </row>
    <row r="324" spans="1:15" x14ac:dyDescent="0.25">
      <c r="A324">
        <v>29</v>
      </c>
      <c r="B324" t="str">
        <f t="shared" si="10"/>
        <v>25-29</v>
      </c>
      <c r="C324" t="s">
        <v>24</v>
      </c>
      <c r="D324" t="s">
        <v>14</v>
      </c>
      <c r="E324" t="s">
        <v>27</v>
      </c>
      <c r="F324" t="s">
        <v>31</v>
      </c>
      <c r="G324" t="s">
        <v>22</v>
      </c>
      <c r="H324">
        <v>3</v>
      </c>
      <c r="I324" t="s">
        <v>23</v>
      </c>
      <c r="J324">
        <v>13.0641</v>
      </c>
      <c r="K324">
        <v>77.593100000000007</v>
      </c>
      <c r="L324">
        <v>560092</v>
      </c>
      <c r="M324" t="s">
        <v>34</v>
      </c>
      <c r="N324" t="s">
        <v>25</v>
      </c>
      <c r="O324" t="str">
        <f t="shared" si="11"/>
        <v>Churned &amp; Unhappy</v>
      </c>
    </row>
    <row r="325" spans="1:15" x14ac:dyDescent="0.25">
      <c r="A325">
        <v>22</v>
      </c>
      <c r="B325" t="str">
        <f t="shared" si="10"/>
        <v>18-24</v>
      </c>
      <c r="C325" t="s">
        <v>24</v>
      </c>
      <c r="D325" t="s">
        <v>14</v>
      </c>
      <c r="E325" t="s">
        <v>15</v>
      </c>
      <c r="F325" t="s">
        <v>16</v>
      </c>
      <c r="G325" t="s">
        <v>22</v>
      </c>
      <c r="H325">
        <v>3</v>
      </c>
      <c r="I325" t="s">
        <v>23</v>
      </c>
      <c r="J325">
        <v>13.0158</v>
      </c>
      <c r="K325">
        <v>77.539000000000001</v>
      </c>
      <c r="L325">
        <v>560096</v>
      </c>
      <c r="M325" t="s">
        <v>19</v>
      </c>
      <c r="N325" t="s">
        <v>20</v>
      </c>
      <c r="O325" t="str">
        <f t="shared" si="11"/>
        <v>Loyal Customer</v>
      </c>
    </row>
    <row r="326" spans="1:15" x14ac:dyDescent="0.25">
      <c r="A326">
        <v>24</v>
      </c>
      <c r="B326" t="str">
        <f t="shared" si="10"/>
        <v>18-24</v>
      </c>
      <c r="C326" t="s">
        <v>24</v>
      </c>
      <c r="D326" t="s">
        <v>14</v>
      </c>
      <c r="E326" t="s">
        <v>15</v>
      </c>
      <c r="F326" t="s">
        <v>16</v>
      </c>
      <c r="G326" t="s">
        <v>22</v>
      </c>
      <c r="H326">
        <v>2</v>
      </c>
      <c r="I326" t="s">
        <v>23</v>
      </c>
      <c r="J326">
        <v>12.956099999999999</v>
      </c>
      <c r="K326">
        <v>77.592100000000002</v>
      </c>
      <c r="L326">
        <v>560027</v>
      </c>
      <c r="M326" t="s">
        <v>19</v>
      </c>
      <c r="N326" t="s">
        <v>20</v>
      </c>
      <c r="O326" t="str">
        <f t="shared" si="11"/>
        <v>Loyal Customer</v>
      </c>
    </row>
    <row r="327" spans="1:15" x14ac:dyDescent="0.25">
      <c r="A327">
        <v>27</v>
      </c>
      <c r="B327" t="str">
        <f t="shared" si="10"/>
        <v>25-29</v>
      </c>
      <c r="C327" t="s">
        <v>24</v>
      </c>
      <c r="D327" t="s">
        <v>26</v>
      </c>
      <c r="E327" t="s">
        <v>27</v>
      </c>
      <c r="F327" t="s">
        <v>31</v>
      </c>
      <c r="G327" t="s">
        <v>22</v>
      </c>
      <c r="H327">
        <v>2</v>
      </c>
      <c r="I327" t="s">
        <v>23</v>
      </c>
      <c r="J327">
        <v>12.884499999999999</v>
      </c>
      <c r="K327">
        <v>77.6036</v>
      </c>
      <c r="L327">
        <v>560076</v>
      </c>
      <c r="M327" t="s">
        <v>19</v>
      </c>
      <c r="N327" t="s">
        <v>20</v>
      </c>
      <c r="O327" t="str">
        <f t="shared" si="11"/>
        <v>Loyal Customer</v>
      </c>
    </row>
    <row r="328" spans="1:15" x14ac:dyDescent="0.25">
      <c r="A328">
        <v>23</v>
      </c>
      <c r="B328" t="str">
        <f t="shared" si="10"/>
        <v>18-24</v>
      </c>
      <c r="C328" t="s">
        <v>13</v>
      </c>
      <c r="D328" t="s">
        <v>14</v>
      </c>
      <c r="E328" t="s">
        <v>15</v>
      </c>
      <c r="F328" t="s">
        <v>16</v>
      </c>
      <c r="G328" t="s">
        <v>17</v>
      </c>
      <c r="H328">
        <v>3</v>
      </c>
      <c r="I328" t="s">
        <v>23</v>
      </c>
      <c r="J328">
        <v>12.9369</v>
      </c>
      <c r="K328">
        <v>77.640699999999995</v>
      </c>
      <c r="L328">
        <v>560095</v>
      </c>
      <c r="M328" t="s">
        <v>34</v>
      </c>
      <c r="N328" t="s">
        <v>20</v>
      </c>
      <c r="O328" t="str">
        <f t="shared" si="11"/>
        <v>Lost Potential</v>
      </c>
    </row>
    <row r="329" spans="1:15" x14ac:dyDescent="0.25">
      <c r="A329">
        <v>32</v>
      </c>
      <c r="B329" t="str">
        <f t="shared" si="10"/>
        <v>30-33</v>
      </c>
      <c r="C329" t="s">
        <v>24</v>
      </c>
      <c r="D329" t="s">
        <v>26</v>
      </c>
      <c r="E329" t="s">
        <v>27</v>
      </c>
      <c r="F329" t="s">
        <v>28</v>
      </c>
      <c r="G329" t="s">
        <v>17</v>
      </c>
      <c r="H329">
        <v>6</v>
      </c>
      <c r="I329" t="s">
        <v>18</v>
      </c>
      <c r="J329">
        <v>12.9369</v>
      </c>
      <c r="K329">
        <v>77.640699999999995</v>
      </c>
      <c r="L329">
        <v>560095</v>
      </c>
      <c r="M329" t="s">
        <v>19</v>
      </c>
      <c r="N329" t="s">
        <v>20</v>
      </c>
      <c r="O329" t="str">
        <f t="shared" si="11"/>
        <v>Loyal Customer</v>
      </c>
    </row>
    <row r="330" spans="1:15" x14ac:dyDescent="0.25">
      <c r="A330">
        <v>22</v>
      </c>
      <c r="B330" t="str">
        <f t="shared" si="10"/>
        <v>18-24</v>
      </c>
      <c r="C330" t="s">
        <v>13</v>
      </c>
      <c r="D330" t="s">
        <v>14</v>
      </c>
      <c r="E330" t="s">
        <v>15</v>
      </c>
      <c r="F330" t="s">
        <v>16</v>
      </c>
      <c r="G330" t="s">
        <v>22</v>
      </c>
      <c r="H330">
        <v>2</v>
      </c>
      <c r="I330" t="s">
        <v>23</v>
      </c>
      <c r="J330">
        <v>12.9369</v>
      </c>
      <c r="K330">
        <v>77.640699999999995</v>
      </c>
      <c r="L330">
        <v>560095</v>
      </c>
      <c r="M330" t="s">
        <v>19</v>
      </c>
      <c r="N330" t="s">
        <v>20</v>
      </c>
      <c r="O330" t="str">
        <f t="shared" si="11"/>
        <v>Loyal Customer</v>
      </c>
    </row>
    <row r="331" spans="1:15" x14ac:dyDescent="0.25">
      <c r="A331">
        <v>22</v>
      </c>
      <c r="B331" t="str">
        <f t="shared" si="10"/>
        <v>18-24</v>
      </c>
      <c r="C331" t="s">
        <v>13</v>
      </c>
      <c r="D331" t="s">
        <v>14</v>
      </c>
      <c r="E331" t="s">
        <v>27</v>
      </c>
      <c r="F331" t="s">
        <v>31</v>
      </c>
      <c r="G331" t="s">
        <v>22</v>
      </c>
      <c r="H331">
        <v>4</v>
      </c>
      <c r="I331" t="s">
        <v>18</v>
      </c>
      <c r="J331">
        <v>12.884499999999999</v>
      </c>
      <c r="K331">
        <v>77.6036</v>
      </c>
      <c r="L331">
        <v>560076</v>
      </c>
      <c r="M331" t="s">
        <v>19</v>
      </c>
      <c r="N331" t="s">
        <v>20</v>
      </c>
      <c r="O331" t="str">
        <f t="shared" si="11"/>
        <v>Loyal Customer</v>
      </c>
    </row>
    <row r="332" spans="1:15" x14ac:dyDescent="0.25">
      <c r="A332">
        <v>26</v>
      </c>
      <c r="B332" t="str">
        <f t="shared" si="10"/>
        <v>25-29</v>
      </c>
      <c r="C332" t="s">
        <v>24</v>
      </c>
      <c r="D332" t="s">
        <v>26</v>
      </c>
      <c r="E332" t="s">
        <v>27</v>
      </c>
      <c r="F332" t="s">
        <v>28</v>
      </c>
      <c r="G332" t="s">
        <v>22</v>
      </c>
      <c r="H332">
        <v>4</v>
      </c>
      <c r="I332" t="s">
        <v>18</v>
      </c>
      <c r="J332">
        <v>12.9048</v>
      </c>
      <c r="K332">
        <v>77.682100000000005</v>
      </c>
      <c r="L332">
        <v>560036</v>
      </c>
      <c r="M332" t="s">
        <v>19</v>
      </c>
      <c r="N332" t="s">
        <v>20</v>
      </c>
      <c r="O332" t="str">
        <f t="shared" si="11"/>
        <v>Loyal Customer</v>
      </c>
    </row>
    <row r="333" spans="1:15" x14ac:dyDescent="0.25">
      <c r="A333">
        <v>25</v>
      </c>
      <c r="B333" t="str">
        <f t="shared" si="10"/>
        <v>25-29</v>
      </c>
      <c r="C333" t="s">
        <v>13</v>
      </c>
      <c r="D333" t="s">
        <v>14</v>
      </c>
      <c r="E333" t="s">
        <v>15</v>
      </c>
      <c r="F333" t="s">
        <v>16</v>
      </c>
      <c r="G333" t="s">
        <v>33</v>
      </c>
      <c r="H333">
        <v>3</v>
      </c>
      <c r="I333" t="s">
        <v>23</v>
      </c>
      <c r="J333">
        <v>12.9048</v>
      </c>
      <c r="K333">
        <v>77.682100000000005</v>
      </c>
      <c r="L333">
        <v>560036</v>
      </c>
      <c r="M333" t="s">
        <v>19</v>
      </c>
      <c r="N333" t="s">
        <v>20</v>
      </c>
      <c r="O333" t="str">
        <f t="shared" si="11"/>
        <v>Loyal Customer</v>
      </c>
    </row>
    <row r="334" spans="1:15" x14ac:dyDescent="0.25">
      <c r="A334">
        <v>20</v>
      </c>
      <c r="B334" t="str">
        <f t="shared" si="10"/>
        <v>18-24</v>
      </c>
      <c r="C334" t="s">
        <v>24</v>
      </c>
      <c r="D334" t="s">
        <v>14</v>
      </c>
      <c r="E334" t="s">
        <v>15</v>
      </c>
      <c r="F334" t="s">
        <v>16</v>
      </c>
      <c r="G334" t="s">
        <v>22</v>
      </c>
      <c r="H334">
        <v>2</v>
      </c>
      <c r="I334" t="s">
        <v>23</v>
      </c>
      <c r="J334">
        <v>12.9261</v>
      </c>
      <c r="K334">
        <v>77.622100000000003</v>
      </c>
      <c r="L334">
        <v>560034</v>
      </c>
      <c r="M334" t="s">
        <v>19</v>
      </c>
      <c r="N334" t="s">
        <v>20</v>
      </c>
      <c r="O334" t="str">
        <f t="shared" si="11"/>
        <v>Loyal Customer</v>
      </c>
    </row>
    <row r="335" spans="1:15" x14ac:dyDescent="0.25">
      <c r="A335">
        <v>29</v>
      </c>
      <c r="B335" t="str">
        <f t="shared" si="10"/>
        <v>25-29</v>
      </c>
      <c r="C335" t="s">
        <v>24</v>
      </c>
      <c r="D335" t="s">
        <v>26</v>
      </c>
      <c r="E335" t="s">
        <v>27</v>
      </c>
      <c r="F335" t="s">
        <v>31</v>
      </c>
      <c r="G335" t="s">
        <v>22</v>
      </c>
      <c r="H335">
        <v>4</v>
      </c>
      <c r="I335" t="s">
        <v>18</v>
      </c>
      <c r="J335">
        <v>12.9261</v>
      </c>
      <c r="K335">
        <v>77.622100000000003</v>
      </c>
      <c r="L335">
        <v>560034</v>
      </c>
      <c r="M335" t="s">
        <v>34</v>
      </c>
      <c r="N335" t="s">
        <v>25</v>
      </c>
      <c r="O335" t="str">
        <f t="shared" si="11"/>
        <v>Churned &amp; Unhappy</v>
      </c>
    </row>
    <row r="336" spans="1:15" x14ac:dyDescent="0.25">
      <c r="A336">
        <v>23</v>
      </c>
      <c r="B336" t="str">
        <f t="shared" si="10"/>
        <v>18-24</v>
      </c>
      <c r="C336" t="s">
        <v>13</v>
      </c>
      <c r="D336" t="s">
        <v>14</v>
      </c>
      <c r="E336" t="s">
        <v>15</v>
      </c>
      <c r="F336" t="s">
        <v>16</v>
      </c>
      <c r="G336" t="s">
        <v>22</v>
      </c>
      <c r="H336">
        <v>1</v>
      </c>
      <c r="I336" t="s">
        <v>32</v>
      </c>
      <c r="J336">
        <v>12.977</v>
      </c>
      <c r="K336">
        <v>77.577299999999994</v>
      </c>
      <c r="L336">
        <v>560009</v>
      </c>
      <c r="M336" t="s">
        <v>19</v>
      </c>
      <c r="N336" t="s">
        <v>20</v>
      </c>
      <c r="O336" t="str">
        <f t="shared" si="11"/>
        <v>Loyal Customer</v>
      </c>
    </row>
    <row r="337" spans="1:15" x14ac:dyDescent="0.25">
      <c r="A337">
        <v>25</v>
      </c>
      <c r="B337" t="str">
        <f t="shared" si="10"/>
        <v>25-29</v>
      </c>
      <c r="C337" t="s">
        <v>24</v>
      </c>
      <c r="D337" t="s">
        <v>14</v>
      </c>
      <c r="E337" t="s">
        <v>29</v>
      </c>
      <c r="F337" t="s">
        <v>28</v>
      </c>
      <c r="G337" t="s">
        <v>22</v>
      </c>
      <c r="H337">
        <v>2</v>
      </c>
      <c r="I337" t="s">
        <v>23</v>
      </c>
      <c r="J337">
        <v>12.978300000000001</v>
      </c>
      <c r="K337">
        <v>77.640799999999999</v>
      </c>
      <c r="L337">
        <v>560038</v>
      </c>
      <c r="M337" t="s">
        <v>19</v>
      </c>
      <c r="N337" t="s">
        <v>20</v>
      </c>
      <c r="O337" t="str">
        <f t="shared" si="11"/>
        <v>Loyal Customer</v>
      </c>
    </row>
    <row r="338" spans="1:15" x14ac:dyDescent="0.25">
      <c r="A338">
        <v>29</v>
      </c>
      <c r="B338" t="str">
        <f t="shared" si="10"/>
        <v>25-29</v>
      </c>
      <c r="C338" t="s">
        <v>13</v>
      </c>
      <c r="D338" t="s">
        <v>26</v>
      </c>
      <c r="E338" t="s">
        <v>27</v>
      </c>
      <c r="F338" t="s">
        <v>31</v>
      </c>
      <c r="G338" t="s">
        <v>22</v>
      </c>
      <c r="H338">
        <v>4</v>
      </c>
      <c r="I338" t="s">
        <v>18</v>
      </c>
      <c r="J338">
        <v>12.978300000000001</v>
      </c>
      <c r="K338">
        <v>77.640799999999999</v>
      </c>
      <c r="L338">
        <v>560038</v>
      </c>
      <c r="M338" t="s">
        <v>34</v>
      </c>
      <c r="N338" t="s">
        <v>25</v>
      </c>
      <c r="O338" t="str">
        <f t="shared" si="11"/>
        <v>Churned &amp; Unhappy</v>
      </c>
    </row>
    <row r="339" spans="1:15" x14ac:dyDescent="0.25">
      <c r="A339">
        <v>27</v>
      </c>
      <c r="B339" t="str">
        <f t="shared" si="10"/>
        <v>25-29</v>
      </c>
      <c r="C339" t="s">
        <v>24</v>
      </c>
      <c r="D339" t="s">
        <v>26</v>
      </c>
      <c r="E339" t="s">
        <v>29</v>
      </c>
      <c r="F339" t="s">
        <v>31</v>
      </c>
      <c r="G339" t="s">
        <v>22</v>
      </c>
      <c r="H339">
        <v>6</v>
      </c>
      <c r="I339" t="s">
        <v>18</v>
      </c>
      <c r="J339">
        <v>12.9217</v>
      </c>
      <c r="K339">
        <v>77.593599999999995</v>
      </c>
      <c r="L339">
        <v>560041</v>
      </c>
      <c r="M339" t="s">
        <v>34</v>
      </c>
      <c r="N339" t="s">
        <v>20</v>
      </c>
      <c r="O339" t="str">
        <f t="shared" si="11"/>
        <v>Lost Potential</v>
      </c>
    </row>
    <row r="340" spans="1:15" x14ac:dyDescent="0.25">
      <c r="A340">
        <v>25</v>
      </c>
      <c r="B340" t="str">
        <f t="shared" si="10"/>
        <v>25-29</v>
      </c>
      <c r="C340" t="s">
        <v>24</v>
      </c>
      <c r="D340" t="s">
        <v>14</v>
      </c>
      <c r="E340" t="s">
        <v>29</v>
      </c>
      <c r="F340" t="s">
        <v>30</v>
      </c>
      <c r="G340" t="s">
        <v>22</v>
      </c>
      <c r="H340">
        <v>3</v>
      </c>
      <c r="I340" t="s">
        <v>23</v>
      </c>
      <c r="J340">
        <v>13.0206</v>
      </c>
      <c r="K340">
        <v>77.647900000000007</v>
      </c>
      <c r="L340">
        <v>560043</v>
      </c>
      <c r="M340" t="s">
        <v>19</v>
      </c>
      <c r="N340" t="s">
        <v>20</v>
      </c>
      <c r="O340" t="str">
        <f t="shared" si="11"/>
        <v>Loyal Customer</v>
      </c>
    </row>
    <row r="341" spans="1:15" x14ac:dyDescent="0.25">
      <c r="A341">
        <v>21</v>
      </c>
      <c r="B341" t="str">
        <f t="shared" si="10"/>
        <v>18-24</v>
      </c>
      <c r="C341" t="s">
        <v>24</v>
      </c>
      <c r="D341" t="s">
        <v>14</v>
      </c>
      <c r="E341" t="s">
        <v>15</v>
      </c>
      <c r="F341" t="s">
        <v>16</v>
      </c>
      <c r="G341" t="s">
        <v>22</v>
      </c>
      <c r="H341">
        <v>2</v>
      </c>
      <c r="I341" t="s">
        <v>23</v>
      </c>
      <c r="J341">
        <v>13.001200000000001</v>
      </c>
      <c r="K341">
        <v>77.599500000000006</v>
      </c>
      <c r="L341">
        <v>560046</v>
      </c>
      <c r="M341" t="s">
        <v>34</v>
      </c>
      <c r="N341" t="s">
        <v>25</v>
      </c>
      <c r="O341" t="str">
        <f t="shared" si="11"/>
        <v>Churned &amp; Unhappy</v>
      </c>
    </row>
    <row r="342" spans="1:15" x14ac:dyDescent="0.25">
      <c r="A342">
        <v>23</v>
      </c>
      <c r="B342" t="str">
        <f t="shared" si="10"/>
        <v>18-24</v>
      </c>
      <c r="C342" t="s">
        <v>24</v>
      </c>
      <c r="D342" t="s">
        <v>14</v>
      </c>
      <c r="E342" t="s">
        <v>15</v>
      </c>
      <c r="F342" t="s">
        <v>16</v>
      </c>
      <c r="G342" t="s">
        <v>22</v>
      </c>
      <c r="H342">
        <v>3</v>
      </c>
      <c r="I342" t="s">
        <v>23</v>
      </c>
      <c r="J342">
        <v>13.0223</v>
      </c>
      <c r="K342">
        <v>77.713200000000001</v>
      </c>
      <c r="L342">
        <v>560049</v>
      </c>
      <c r="M342" t="s">
        <v>19</v>
      </c>
      <c r="N342" t="s">
        <v>20</v>
      </c>
      <c r="O342" t="str">
        <f t="shared" si="11"/>
        <v>Loyal Customer</v>
      </c>
    </row>
    <row r="343" spans="1:15" x14ac:dyDescent="0.25">
      <c r="A343">
        <v>24</v>
      </c>
      <c r="B343" t="str">
        <f t="shared" si="10"/>
        <v>18-24</v>
      </c>
      <c r="C343" t="s">
        <v>13</v>
      </c>
      <c r="D343" t="s">
        <v>14</v>
      </c>
      <c r="E343" t="s">
        <v>27</v>
      </c>
      <c r="F343" t="s">
        <v>30</v>
      </c>
      <c r="G343" t="s">
        <v>17</v>
      </c>
      <c r="H343">
        <v>4</v>
      </c>
      <c r="I343" t="s">
        <v>18</v>
      </c>
      <c r="J343">
        <v>12.9337</v>
      </c>
      <c r="K343">
        <v>77.59</v>
      </c>
      <c r="L343">
        <v>560011</v>
      </c>
      <c r="M343" t="s">
        <v>19</v>
      </c>
      <c r="N343" t="s">
        <v>20</v>
      </c>
      <c r="O343" t="str">
        <f t="shared" si="11"/>
        <v>Loyal Customer</v>
      </c>
    </row>
    <row r="344" spans="1:15" x14ac:dyDescent="0.25">
      <c r="A344">
        <v>22</v>
      </c>
      <c r="B344" t="str">
        <f t="shared" si="10"/>
        <v>18-24</v>
      </c>
      <c r="C344" t="s">
        <v>24</v>
      </c>
      <c r="D344" t="s">
        <v>26</v>
      </c>
      <c r="E344" t="s">
        <v>29</v>
      </c>
      <c r="F344" t="s">
        <v>30</v>
      </c>
      <c r="G344" t="s">
        <v>38</v>
      </c>
      <c r="H344">
        <v>3</v>
      </c>
      <c r="I344" t="s">
        <v>23</v>
      </c>
      <c r="J344">
        <v>12.981999999999999</v>
      </c>
      <c r="K344">
        <v>77.625600000000006</v>
      </c>
      <c r="L344">
        <v>560008</v>
      </c>
      <c r="M344" t="s">
        <v>19</v>
      </c>
      <c r="N344" t="s">
        <v>25</v>
      </c>
      <c r="O344" t="str">
        <f t="shared" si="11"/>
        <v>Churned &amp; Unhappy</v>
      </c>
    </row>
    <row r="345" spans="1:15" x14ac:dyDescent="0.25">
      <c r="A345">
        <v>28</v>
      </c>
      <c r="B345" t="str">
        <f t="shared" si="10"/>
        <v>25-29</v>
      </c>
      <c r="C345" t="s">
        <v>24</v>
      </c>
      <c r="D345" t="s">
        <v>26</v>
      </c>
      <c r="E345" t="s">
        <v>27</v>
      </c>
      <c r="F345" t="s">
        <v>31</v>
      </c>
      <c r="G345" t="s">
        <v>17</v>
      </c>
      <c r="H345">
        <v>5</v>
      </c>
      <c r="I345" t="s">
        <v>18</v>
      </c>
      <c r="J345">
        <v>13.026199999999999</v>
      </c>
      <c r="K345">
        <v>77.62</v>
      </c>
      <c r="L345">
        <v>560045</v>
      </c>
      <c r="M345" t="s">
        <v>19</v>
      </c>
      <c r="N345" t="s">
        <v>20</v>
      </c>
      <c r="O345" t="str">
        <f t="shared" si="11"/>
        <v>Loyal Customer</v>
      </c>
    </row>
    <row r="346" spans="1:15" x14ac:dyDescent="0.25">
      <c r="A346">
        <v>26</v>
      </c>
      <c r="B346" t="str">
        <f t="shared" si="10"/>
        <v>25-29</v>
      </c>
      <c r="C346" t="s">
        <v>24</v>
      </c>
      <c r="D346" t="s">
        <v>14</v>
      </c>
      <c r="E346" t="s">
        <v>27</v>
      </c>
      <c r="F346" t="s">
        <v>30</v>
      </c>
      <c r="G346" t="s">
        <v>22</v>
      </c>
      <c r="H346">
        <v>2</v>
      </c>
      <c r="I346" t="s">
        <v>23</v>
      </c>
      <c r="J346">
        <v>12.9217</v>
      </c>
      <c r="K346">
        <v>77.593599999999995</v>
      </c>
      <c r="L346">
        <v>560041</v>
      </c>
      <c r="M346" t="s">
        <v>34</v>
      </c>
      <c r="N346" t="s">
        <v>25</v>
      </c>
      <c r="O346" t="str">
        <f t="shared" si="11"/>
        <v>Churned &amp; Unhappy</v>
      </c>
    </row>
    <row r="347" spans="1:15" x14ac:dyDescent="0.25">
      <c r="A347">
        <v>22</v>
      </c>
      <c r="B347" t="str">
        <f t="shared" si="10"/>
        <v>18-24</v>
      </c>
      <c r="C347" t="s">
        <v>13</v>
      </c>
      <c r="D347" t="s">
        <v>14</v>
      </c>
      <c r="E347" t="s">
        <v>27</v>
      </c>
      <c r="F347" t="s">
        <v>31</v>
      </c>
      <c r="G347" t="s">
        <v>22</v>
      </c>
      <c r="H347">
        <v>4</v>
      </c>
      <c r="I347" t="s">
        <v>18</v>
      </c>
      <c r="J347">
        <v>12.884499999999999</v>
      </c>
      <c r="K347">
        <v>77.6036</v>
      </c>
      <c r="L347">
        <v>560076</v>
      </c>
      <c r="M347" t="s">
        <v>19</v>
      </c>
      <c r="N347" t="s">
        <v>20</v>
      </c>
      <c r="O347" t="str">
        <f t="shared" si="11"/>
        <v>Loyal Customer</v>
      </c>
    </row>
    <row r="348" spans="1:15" x14ac:dyDescent="0.25">
      <c r="A348">
        <v>26</v>
      </c>
      <c r="B348" t="str">
        <f t="shared" si="10"/>
        <v>25-29</v>
      </c>
      <c r="C348" t="s">
        <v>24</v>
      </c>
      <c r="D348" t="s">
        <v>26</v>
      </c>
      <c r="E348" t="s">
        <v>27</v>
      </c>
      <c r="F348" t="s">
        <v>28</v>
      </c>
      <c r="G348" t="s">
        <v>22</v>
      </c>
      <c r="H348">
        <v>4</v>
      </c>
      <c r="I348" t="s">
        <v>18</v>
      </c>
      <c r="J348">
        <v>12.9048</v>
      </c>
      <c r="K348">
        <v>77.682100000000005</v>
      </c>
      <c r="L348">
        <v>560036</v>
      </c>
      <c r="M348" t="s">
        <v>19</v>
      </c>
      <c r="N348" t="s">
        <v>20</v>
      </c>
      <c r="O348" t="str">
        <f t="shared" si="11"/>
        <v>Loyal Customer</v>
      </c>
    </row>
    <row r="349" spans="1:15" x14ac:dyDescent="0.25">
      <c r="A349">
        <v>25</v>
      </c>
      <c r="B349" t="str">
        <f t="shared" si="10"/>
        <v>25-29</v>
      </c>
      <c r="C349" t="s">
        <v>13</v>
      </c>
      <c r="D349" t="s">
        <v>14</v>
      </c>
      <c r="E349" t="s">
        <v>15</v>
      </c>
      <c r="F349" t="s">
        <v>16</v>
      </c>
      <c r="G349" t="s">
        <v>33</v>
      </c>
      <c r="H349">
        <v>3</v>
      </c>
      <c r="I349" t="s">
        <v>23</v>
      </c>
      <c r="J349">
        <v>12.9048</v>
      </c>
      <c r="K349">
        <v>77.682100000000005</v>
      </c>
      <c r="L349">
        <v>560036</v>
      </c>
      <c r="M349" t="s">
        <v>19</v>
      </c>
      <c r="N349" t="s">
        <v>20</v>
      </c>
      <c r="O349" t="str">
        <f t="shared" si="11"/>
        <v>Loyal Customer</v>
      </c>
    </row>
    <row r="350" spans="1:15" x14ac:dyDescent="0.25">
      <c r="A350">
        <v>20</v>
      </c>
      <c r="B350" t="str">
        <f t="shared" si="10"/>
        <v>18-24</v>
      </c>
      <c r="C350" t="s">
        <v>24</v>
      </c>
      <c r="D350" t="s">
        <v>14</v>
      </c>
      <c r="E350" t="s">
        <v>15</v>
      </c>
      <c r="F350" t="s">
        <v>16</v>
      </c>
      <c r="G350" t="s">
        <v>22</v>
      </c>
      <c r="H350">
        <v>2</v>
      </c>
      <c r="I350" t="s">
        <v>23</v>
      </c>
      <c r="J350">
        <v>12.9261</v>
      </c>
      <c r="K350">
        <v>77.622100000000003</v>
      </c>
      <c r="L350">
        <v>560034</v>
      </c>
      <c r="M350" t="s">
        <v>19</v>
      </c>
      <c r="N350" t="s">
        <v>20</v>
      </c>
      <c r="O350" t="str">
        <f t="shared" si="11"/>
        <v>Loyal Customer</v>
      </c>
    </row>
    <row r="351" spans="1:15" x14ac:dyDescent="0.25">
      <c r="A351">
        <v>29</v>
      </c>
      <c r="B351" t="str">
        <f t="shared" si="10"/>
        <v>25-29</v>
      </c>
      <c r="C351" t="s">
        <v>24</v>
      </c>
      <c r="D351" t="s">
        <v>26</v>
      </c>
      <c r="E351" t="s">
        <v>27</v>
      </c>
      <c r="F351" t="s">
        <v>31</v>
      </c>
      <c r="G351" t="s">
        <v>22</v>
      </c>
      <c r="H351">
        <v>4</v>
      </c>
      <c r="I351" t="s">
        <v>18</v>
      </c>
      <c r="J351">
        <v>12.9261</v>
      </c>
      <c r="K351">
        <v>77.622100000000003</v>
      </c>
      <c r="L351">
        <v>560034</v>
      </c>
      <c r="M351" t="s">
        <v>34</v>
      </c>
      <c r="N351" t="s">
        <v>25</v>
      </c>
      <c r="O351" t="str">
        <f t="shared" si="11"/>
        <v>Churned &amp; Unhappy</v>
      </c>
    </row>
    <row r="352" spans="1:15" x14ac:dyDescent="0.25">
      <c r="A352">
        <v>23</v>
      </c>
      <c r="B352" t="str">
        <f t="shared" si="10"/>
        <v>18-24</v>
      </c>
      <c r="C352" t="s">
        <v>13</v>
      </c>
      <c r="D352" t="s">
        <v>14</v>
      </c>
      <c r="E352" t="s">
        <v>15</v>
      </c>
      <c r="F352" t="s">
        <v>16</v>
      </c>
      <c r="G352" t="s">
        <v>22</v>
      </c>
      <c r="H352">
        <v>1</v>
      </c>
      <c r="I352" t="s">
        <v>32</v>
      </c>
      <c r="J352">
        <v>12.977</v>
      </c>
      <c r="K352">
        <v>77.577299999999994</v>
      </c>
      <c r="L352">
        <v>560009</v>
      </c>
      <c r="M352" t="s">
        <v>19</v>
      </c>
      <c r="N352" t="s">
        <v>20</v>
      </c>
      <c r="O352" t="str">
        <f t="shared" si="11"/>
        <v>Loyal Customer</v>
      </c>
    </row>
    <row r="353" spans="1:15" x14ac:dyDescent="0.25">
      <c r="A353">
        <v>25</v>
      </c>
      <c r="B353" t="str">
        <f t="shared" si="10"/>
        <v>25-29</v>
      </c>
      <c r="C353" t="s">
        <v>24</v>
      </c>
      <c r="D353" t="s">
        <v>14</v>
      </c>
      <c r="E353" t="s">
        <v>29</v>
      </c>
      <c r="F353" t="s">
        <v>28</v>
      </c>
      <c r="G353" t="s">
        <v>22</v>
      </c>
      <c r="H353">
        <v>2</v>
      </c>
      <c r="I353" t="s">
        <v>23</v>
      </c>
      <c r="J353">
        <v>12.978300000000001</v>
      </c>
      <c r="K353">
        <v>77.640799999999999</v>
      </c>
      <c r="L353">
        <v>560038</v>
      </c>
      <c r="M353" t="s">
        <v>19</v>
      </c>
      <c r="N353" t="s">
        <v>20</v>
      </c>
      <c r="O353" t="str">
        <f t="shared" si="11"/>
        <v>Loyal Customer</v>
      </c>
    </row>
    <row r="354" spans="1:15" x14ac:dyDescent="0.25">
      <c r="A354">
        <v>29</v>
      </c>
      <c r="B354" t="str">
        <f t="shared" si="10"/>
        <v>25-29</v>
      </c>
      <c r="C354" t="s">
        <v>13</v>
      </c>
      <c r="D354" t="s">
        <v>26</v>
      </c>
      <c r="E354" t="s">
        <v>27</v>
      </c>
      <c r="F354" t="s">
        <v>31</v>
      </c>
      <c r="G354" t="s">
        <v>22</v>
      </c>
      <c r="H354">
        <v>4</v>
      </c>
      <c r="I354" t="s">
        <v>18</v>
      </c>
      <c r="J354">
        <v>12.978300000000001</v>
      </c>
      <c r="K354">
        <v>77.640799999999999</v>
      </c>
      <c r="L354">
        <v>560038</v>
      </c>
      <c r="M354" t="s">
        <v>34</v>
      </c>
      <c r="N354" t="s">
        <v>20</v>
      </c>
      <c r="O354" t="str">
        <f t="shared" si="11"/>
        <v>Lost Potential</v>
      </c>
    </row>
    <row r="355" spans="1:15" x14ac:dyDescent="0.25">
      <c r="A355">
        <v>27</v>
      </c>
      <c r="B355" t="str">
        <f t="shared" si="10"/>
        <v>25-29</v>
      </c>
      <c r="C355" t="s">
        <v>24</v>
      </c>
      <c r="D355" t="s">
        <v>26</v>
      </c>
      <c r="E355" t="s">
        <v>29</v>
      </c>
      <c r="F355" t="s">
        <v>31</v>
      </c>
      <c r="G355" t="s">
        <v>22</v>
      </c>
      <c r="H355">
        <v>6</v>
      </c>
      <c r="I355" t="s">
        <v>18</v>
      </c>
      <c r="J355">
        <v>12.9217</v>
      </c>
      <c r="K355">
        <v>77.593599999999995</v>
      </c>
      <c r="L355">
        <v>560041</v>
      </c>
      <c r="M355" t="s">
        <v>34</v>
      </c>
      <c r="N355" t="s">
        <v>20</v>
      </c>
      <c r="O355" t="str">
        <f t="shared" si="11"/>
        <v>Lost Potential</v>
      </c>
    </row>
    <row r="356" spans="1:15" x14ac:dyDescent="0.25">
      <c r="A356">
        <v>25</v>
      </c>
      <c r="B356" t="str">
        <f t="shared" si="10"/>
        <v>25-29</v>
      </c>
      <c r="C356" t="s">
        <v>24</v>
      </c>
      <c r="D356" t="s">
        <v>14</v>
      </c>
      <c r="E356" t="s">
        <v>29</v>
      </c>
      <c r="F356" t="s">
        <v>30</v>
      </c>
      <c r="G356" t="s">
        <v>22</v>
      </c>
      <c r="H356">
        <v>3</v>
      </c>
      <c r="I356" t="s">
        <v>23</v>
      </c>
      <c r="J356">
        <v>13.0206</v>
      </c>
      <c r="K356">
        <v>77.647900000000007</v>
      </c>
      <c r="L356">
        <v>560043</v>
      </c>
      <c r="M356" t="s">
        <v>19</v>
      </c>
      <c r="N356" t="s">
        <v>20</v>
      </c>
      <c r="O356" t="str">
        <f t="shared" si="11"/>
        <v>Loyal Customer</v>
      </c>
    </row>
    <row r="357" spans="1:15" x14ac:dyDescent="0.25">
      <c r="A357">
        <v>21</v>
      </c>
      <c r="B357" t="str">
        <f t="shared" si="10"/>
        <v>18-24</v>
      </c>
      <c r="C357" t="s">
        <v>24</v>
      </c>
      <c r="D357" t="s">
        <v>14</v>
      </c>
      <c r="E357" t="s">
        <v>15</v>
      </c>
      <c r="F357" t="s">
        <v>16</v>
      </c>
      <c r="G357" t="s">
        <v>22</v>
      </c>
      <c r="H357">
        <v>2</v>
      </c>
      <c r="I357" t="s">
        <v>23</v>
      </c>
      <c r="J357">
        <v>13.001200000000001</v>
      </c>
      <c r="K357">
        <v>77.599500000000006</v>
      </c>
      <c r="L357">
        <v>560046</v>
      </c>
      <c r="M357" t="s">
        <v>34</v>
      </c>
      <c r="N357" t="s">
        <v>20</v>
      </c>
      <c r="O357" t="str">
        <f t="shared" si="11"/>
        <v>Lost Potential</v>
      </c>
    </row>
    <row r="358" spans="1:15" x14ac:dyDescent="0.25">
      <c r="A358">
        <v>24</v>
      </c>
      <c r="B358" t="str">
        <f t="shared" si="10"/>
        <v>18-24</v>
      </c>
      <c r="C358" t="s">
        <v>24</v>
      </c>
      <c r="D358" t="s">
        <v>14</v>
      </c>
      <c r="E358" t="s">
        <v>15</v>
      </c>
      <c r="F358" t="s">
        <v>16</v>
      </c>
      <c r="G358" t="s">
        <v>17</v>
      </c>
      <c r="H358">
        <v>2</v>
      </c>
      <c r="I358" t="s">
        <v>23</v>
      </c>
      <c r="J358">
        <v>12.970599999999999</v>
      </c>
      <c r="K358">
        <v>77.652900000000002</v>
      </c>
      <c r="L358">
        <v>560075</v>
      </c>
      <c r="M358" t="s">
        <v>19</v>
      </c>
      <c r="N358" t="s">
        <v>20</v>
      </c>
      <c r="O358" t="str">
        <f t="shared" si="11"/>
        <v>Loyal Customer</v>
      </c>
    </row>
    <row r="359" spans="1:15" x14ac:dyDescent="0.25">
      <c r="A359">
        <v>26</v>
      </c>
      <c r="B359" t="str">
        <f t="shared" si="10"/>
        <v>25-29</v>
      </c>
      <c r="C359" t="s">
        <v>13</v>
      </c>
      <c r="D359" t="s">
        <v>26</v>
      </c>
      <c r="E359" t="s">
        <v>29</v>
      </c>
      <c r="F359" t="s">
        <v>30</v>
      </c>
      <c r="G359" t="s">
        <v>22</v>
      </c>
      <c r="H359">
        <v>5</v>
      </c>
      <c r="I359" t="s">
        <v>18</v>
      </c>
      <c r="J359">
        <v>12.970599999999999</v>
      </c>
      <c r="K359">
        <v>77.652900000000002</v>
      </c>
      <c r="L359">
        <v>560075</v>
      </c>
      <c r="M359" t="s">
        <v>34</v>
      </c>
      <c r="N359" t="s">
        <v>25</v>
      </c>
      <c r="O359" t="str">
        <f t="shared" si="11"/>
        <v>Churned &amp; Unhappy</v>
      </c>
    </row>
    <row r="360" spans="1:15" x14ac:dyDescent="0.25">
      <c r="A360">
        <v>32</v>
      </c>
      <c r="B360" t="str">
        <f t="shared" si="10"/>
        <v>30-33</v>
      </c>
      <c r="C360" t="s">
        <v>24</v>
      </c>
      <c r="D360" t="s">
        <v>26</v>
      </c>
      <c r="E360" t="s">
        <v>27</v>
      </c>
      <c r="F360" t="s">
        <v>31</v>
      </c>
      <c r="G360" t="s">
        <v>22</v>
      </c>
      <c r="H360">
        <v>3</v>
      </c>
      <c r="I360" t="s">
        <v>23</v>
      </c>
      <c r="J360">
        <v>12.970599999999999</v>
      </c>
      <c r="K360">
        <v>77.652900000000002</v>
      </c>
      <c r="L360">
        <v>560075</v>
      </c>
      <c r="M360" t="s">
        <v>19</v>
      </c>
      <c r="N360" t="s">
        <v>20</v>
      </c>
      <c r="O360" t="str">
        <f t="shared" si="11"/>
        <v>Loyal Customer</v>
      </c>
    </row>
    <row r="361" spans="1:15" x14ac:dyDescent="0.25">
      <c r="A361">
        <v>29</v>
      </c>
      <c r="B361" t="str">
        <f t="shared" si="10"/>
        <v>25-29</v>
      </c>
      <c r="C361" t="s">
        <v>24</v>
      </c>
      <c r="D361" t="s">
        <v>14</v>
      </c>
      <c r="E361" t="s">
        <v>29</v>
      </c>
      <c r="F361" t="s">
        <v>28</v>
      </c>
      <c r="G361" t="s">
        <v>22</v>
      </c>
      <c r="H361">
        <v>6</v>
      </c>
      <c r="I361" t="s">
        <v>18</v>
      </c>
      <c r="J361">
        <v>12.884499999999999</v>
      </c>
      <c r="K361">
        <v>77.6036</v>
      </c>
      <c r="L361">
        <v>560076</v>
      </c>
      <c r="M361" t="s">
        <v>19</v>
      </c>
      <c r="N361" t="s">
        <v>20</v>
      </c>
      <c r="O361" t="str">
        <f t="shared" si="11"/>
        <v>Loyal Customer</v>
      </c>
    </row>
    <row r="362" spans="1:15" x14ac:dyDescent="0.25">
      <c r="A362">
        <v>21</v>
      </c>
      <c r="B362" t="str">
        <f t="shared" si="10"/>
        <v>18-24</v>
      </c>
      <c r="C362" t="s">
        <v>24</v>
      </c>
      <c r="D362" t="s">
        <v>14</v>
      </c>
      <c r="E362" t="s">
        <v>15</v>
      </c>
      <c r="F362" t="s">
        <v>16</v>
      </c>
      <c r="G362" t="s">
        <v>22</v>
      </c>
      <c r="H362">
        <v>5</v>
      </c>
      <c r="I362" t="s">
        <v>18</v>
      </c>
      <c r="J362">
        <v>12.978300000000001</v>
      </c>
      <c r="K362">
        <v>77.640799999999999</v>
      </c>
      <c r="L362">
        <v>560038</v>
      </c>
      <c r="M362" t="s">
        <v>19</v>
      </c>
      <c r="N362" t="s">
        <v>20</v>
      </c>
      <c r="O362" t="str">
        <f t="shared" si="11"/>
        <v>Loyal Customer</v>
      </c>
    </row>
    <row r="363" spans="1:15" x14ac:dyDescent="0.25">
      <c r="A363">
        <v>24</v>
      </c>
      <c r="B363" t="str">
        <f t="shared" si="10"/>
        <v>18-24</v>
      </c>
      <c r="C363" t="s">
        <v>13</v>
      </c>
      <c r="D363" t="s">
        <v>14</v>
      </c>
      <c r="E363" t="s">
        <v>29</v>
      </c>
      <c r="F363" t="s">
        <v>31</v>
      </c>
      <c r="G363" t="s">
        <v>17</v>
      </c>
      <c r="H363">
        <v>3</v>
      </c>
      <c r="I363" t="s">
        <v>23</v>
      </c>
      <c r="J363">
        <v>13.010300000000001</v>
      </c>
      <c r="K363">
        <v>77.579599999999999</v>
      </c>
      <c r="L363">
        <v>560080</v>
      </c>
      <c r="M363" t="s">
        <v>34</v>
      </c>
      <c r="N363" t="s">
        <v>25</v>
      </c>
      <c r="O363" t="str">
        <f t="shared" si="11"/>
        <v>Churned &amp; Unhappy</v>
      </c>
    </row>
    <row r="364" spans="1:15" x14ac:dyDescent="0.25">
      <c r="A364">
        <v>26</v>
      </c>
      <c r="B364" t="str">
        <f t="shared" si="10"/>
        <v>25-29</v>
      </c>
      <c r="C364" t="s">
        <v>24</v>
      </c>
      <c r="D364" t="s">
        <v>35</v>
      </c>
      <c r="E364" t="s">
        <v>29</v>
      </c>
      <c r="F364" t="s">
        <v>28</v>
      </c>
      <c r="G364" t="s">
        <v>17</v>
      </c>
      <c r="H364">
        <v>2</v>
      </c>
      <c r="I364" t="s">
        <v>23</v>
      </c>
      <c r="J364">
        <v>13.010300000000001</v>
      </c>
      <c r="K364">
        <v>77.579599999999999</v>
      </c>
      <c r="L364">
        <v>560080</v>
      </c>
      <c r="M364" t="s">
        <v>19</v>
      </c>
      <c r="N364" t="s">
        <v>20</v>
      </c>
      <c r="O364" t="str">
        <f t="shared" si="11"/>
        <v>Loyal Customer</v>
      </c>
    </row>
    <row r="365" spans="1:15" x14ac:dyDescent="0.25">
      <c r="A365">
        <v>31</v>
      </c>
      <c r="B365" t="str">
        <f t="shared" si="10"/>
        <v>30-33</v>
      </c>
      <c r="C365" t="s">
        <v>24</v>
      </c>
      <c r="D365" t="s">
        <v>26</v>
      </c>
      <c r="E365" t="s">
        <v>27</v>
      </c>
      <c r="F365" t="s">
        <v>28</v>
      </c>
      <c r="G365" t="s">
        <v>33</v>
      </c>
      <c r="H365">
        <v>3</v>
      </c>
      <c r="I365" t="s">
        <v>23</v>
      </c>
      <c r="J365">
        <v>12.9306</v>
      </c>
      <c r="K365">
        <v>77.543400000000005</v>
      </c>
      <c r="L365">
        <v>560085</v>
      </c>
      <c r="M365" t="s">
        <v>19</v>
      </c>
      <c r="N365" t="s">
        <v>20</v>
      </c>
      <c r="O365" t="str">
        <f t="shared" si="11"/>
        <v>Loyal Customer</v>
      </c>
    </row>
    <row r="366" spans="1:15" x14ac:dyDescent="0.25">
      <c r="A366">
        <v>29</v>
      </c>
      <c r="B366" t="str">
        <f t="shared" si="10"/>
        <v>25-29</v>
      </c>
      <c r="C366" t="s">
        <v>24</v>
      </c>
      <c r="D366" t="s">
        <v>14</v>
      </c>
      <c r="E366" t="s">
        <v>27</v>
      </c>
      <c r="F366" t="s">
        <v>31</v>
      </c>
      <c r="G366" t="s">
        <v>22</v>
      </c>
      <c r="H366">
        <v>3</v>
      </c>
      <c r="I366" t="s">
        <v>23</v>
      </c>
      <c r="J366">
        <v>13.0641</v>
      </c>
      <c r="K366">
        <v>77.593100000000007</v>
      </c>
      <c r="L366">
        <v>560092</v>
      </c>
      <c r="M366" t="s">
        <v>34</v>
      </c>
      <c r="N366" t="s">
        <v>25</v>
      </c>
      <c r="O366" t="str">
        <f t="shared" si="11"/>
        <v>Churned &amp; Unhappy</v>
      </c>
    </row>
    <row r="367" spans="1:15" x14ac:dyDescent="0.25">
      <c r="A367">
        <v>22</v>
      </c>
      <c r="B367" t="str">
        <f t="shared" si="10"/>
        <v>18-24</v>
      </c>
      <c r="C367" t="s">
        <v>24</v>
      </c>
      <c r="D367" t="s">
        <v>14</v>
      </c>
      <c r="E367" t="s">
        <v>15</v>
      </c>
      <c r="F367" t="s">
        <v>16</v>
      </c>
      <c r="G367" t="s">
        <v>22</v>
      </c>
      <c r="H367">
        <v>3</v>
      </c>
      <c r="I367" t="s">
        <v>23</v>
      </c>
      <c r="J367">
        <v>13.0158</v>
      </c>
      <c r="K367">
        <v>77.539000000000001</v>
      </c>
      <c r="L367">
        <v>560096</v>
      </c>
      <c r="M367" t="s">
        <v>19</v>
      </c>
      <c r="N367" t="s">
        <v>20</v>
      </c>
      <c r="O367" t="str">
        <f t="shared" si="11"/>
        <v>Loyal Customer</v>
      </c>
    </row>
    <row r="368" spans="1:15" x14ac:dyDescent="0.25">
      <c r="A368">
        <v>24</v>
      </c>
      <c r="B368" t="str">
        <f t="shared" si="10"/>
        <v>18-24</v>
      </c>
      <c r="C368" t="s">
        <v>24</v>
      </c>
      <c r="D368" t="s">
        <v>14</v>
      </c>
      <c r="E368" t="s">
        <v>15</v>
      </c>
      <c r="F368" t="s">
        <v>16</v>
      </c>
      <c r="G368" t="s">
        <v>22</v>
      </c>
      <c r="H368">
        <v>2</v>
      </c>
      <c r="I368" t="s">
        <v>23</v>
      </c>
      <c r="J368">
        <v>12.956099999999999</v>
      </c>
      <c r="K368">
        <v>77.592100000000002</v>
      </c>
      <c r="L368">
        <v>560027</v>
      </c>
      <c r="M368" t="s">
        <v>19</v>
      </c>
      <c r="N368" t="s">
        <v>20</v>
      </c>
      <c r="O368" t="str">
        <f t="shared" si="11"/>
        <v>Loyal Customer</v>
      </c>
    </row>
    <row r="369" spans="1:15" x14ac:dyDescent="0.25">
      <c r="A369">
        <v>27</v>
      </c>
      <c r="B369" t="str">
        <f t="shared" si="10"/>
        <v>25-29</v>
      </c>
      <c r="C369" t="s">
        <v>24</v>
      </c>
      <c r="D369" t="s">
        <v>26</v>
      </c>
      <c r="E369" t="s">
        <v>27</v>
      </c>
      <c r="F369" t="s">
        <v>31</v>
      </c>
      <c r="G369" t="s">
        <v>22</v>
      </c>
      <c r="H369">
        <v>2</v>
      </c>
      <c r="I369" t="s">
        <v>23</v>
      </c>
      <c r="J369">
        <v>12.884499999999999</v>
      </c>
      <c r="K369">
        <v>77.6036</v>
      </c>
      <c r="L369">
        <v>560076</v>
      </c>
      <c r="M369" t="s">
        <v>19</v>
      </c>
      <c r="N369" t="s">
        <v>20</v>
      </c>
      <c r="O369" t="str">
        <f t="shared" si="11"/>
        <v>Loyal Customer</v>
      </c>
    </row>
    <row r="370" spans="1:15" x14ac:dyDescent="0.25">
      <c r="A370">
        <v>23</v>
      </c>
      <c r="B370" t="str">
        <f t="shared" si="10"/>
        <v>18-24</v>
      </c>
      <c r="C370" t="s">
        <v>13</v>
      </c>
      <c r="D370" t="s">
        <v>14</v>
      </c>
      <c r="E370" t="s">
        <v>15</v>
      </c>
      <c r="F370" t="s">
        <v>16</v>
      </c>
      <c r="G370" t="s">
        <v>17</v>
      </c>
      <c r="H370">
        <v>3</v>
      </c>
      <c r="I370" t="s">
        <v>23</v>
      </c>
      <c r="J370">
        <v>12.9369</v>
      </c>
      <c r="K370">
        <v>77.640699999999995</v>
      </c>
      <c r="L370">
        <v>560095</v>
      </c>
      <c r="M370" t="s">
        <v>34</v>
      </c>
      <c r="N370" t="s">
        <v>20</v>
      </c>
      <c r="O370" t="str">
        <f t="shared" si="11"/>
        <v>Lost Potential</v>
      </c>
    </row>
    <row r="371" spans="1:15" x14ac:dyDescent="0.25">
      <c r="A371">
        <v>30</v>
      </c>
      <c r="B371" t="str">
        <f t="shared" si="10"/>
        <v>30-33</v>
      </c>
      <c r="C371" t="s">
        <v>24</v>
      </c>
      <c r="D371" t="s">
        <v>26</v>
      </c>
      <c r="E371" t="s">
        <v>27</v>
      </c>
      <c r="F371" t="s">
        <v>28</v>
      </c>
      <c r="G371" t="s">
        <v>17</v>
      </c>
      <c r="H371">
        <v>6</v>
      </c>
      <c r="I371" t="s">
        <v>18</v>
      </c>
      <c r="J371">
        <v>12.9369</v>
      </c>
      <c r="K371">
        <v>77.640699999999995</v>
      </c>
      <c r="L371">
        <v>560095</v>
      </c>
      <c r="M371" t="s">
        <v>19</v>
      </c>
      <c r="N371" t="s">
        <v>20</v>
      </c>
      <c r="O371" t="str">
        <f t="shared" si="11"/>
        <v>Loyal Customer</v>
      </c>
    </row>
    <row r="372" spans="1:15" x14ac:dyDescent="0.25">
      <c r="A372">
        <v>22</v>
      </c>
      <c r="B372" t="str">
        <f t="shared" si="10"/>
        <v>18-24</v>
      </c>
      <c r="C372" t="s">
        <v>13</v>
      </c>
      <c r="D372" t="s">
        <v>14</v>
      </c>
      <c r="E372" t="s">
        <v>15</v>
      </c>
      <c r="F372" t="s">
        <v>16</v>
      </c>
      <c r="G372" t="s">
        <v>22</v>
      </c>
      <c r="H372">
        <v>2</v>
      </c>
      <c r="I372" t="s">
        <v>23</v>
      </c>
      <c r="J372">
        <v>12.9369</v>
      </c>
      <c r="K372">
        <v>77.640699999999995</v>
      </c>
      <c r="L372">
        <v>560095</v>
      </c>
      <c r="M372" t="s">
        <v>19</v>
      </c>
      <c r="N372" t="s">
        <v>20</v>
      </c>
      <c r="O372" t="str">
        <f t="shared" si="11"/>
        <v>Loyal Customer</v>
      </c>
    </row>
    <row r="373" spans="1:15" x14ac:dyDescent="0.25">
      <c r="A373">
        <v>28</v>
      </c>
      <c r="B373" t="str">
        <f t="shared" si="10"/>
        <v>25-29</v>
      </c>
      <c r="C373" t="s">
        <v>24</v>
      </c>
      <c r="D373" t="s">
        <v>26</v>
      </c>
      <c r="E373" t="s">
        <v>27</v>
      </c>
      <c r="F373" t="s">
        <v>31</v>
      </c>
      <c r="G373" t="s">
        <v>22</v>
      </c>
      <c r="H373">
        <v>3</v>
      </c>
      <c r="I373" t="s">
        <v>23</v>
      </c>
      <c r="J373">
        <v>12.9369</v>
      </c>
      <c r="K373">
        <v>77.640699999999995</v>
      </c>
      <c r="L373">
        <v>560095</v>
      </c>
      <c r="M373" t="s">
        <v>19</v>
      </c>
      <c r="N373" t="s">
        <v>20</v>
      </c>
      <c r="O373" t="str">
        <f t="shared" si="11"/>
        <v>Loyal Customer</v>
      </c>
    </row>
    <row r="374" spans="1:15" x14ac:dyDescent="0.25">
      <c r="A374">
        <v>23</v>
      </c>
      <c r="B374" t="str">
        <f t="shared" si="10"/>
        <v>18-24</v>
      </c>
      <c r="C374" t="s">
        <v>13</v>
      </c>
      <c r="D374" t="s">
        <v>14</v>
      </c>
      <c r="E374" t="s">
        <v>15</v>
      </c>
      <c r="F374" t="s">
        <v>16</v>
      </c>
      <c r="G374" t="s">
        <v>17</v>
      </c>
      <c r="H374">
        <v>2</v>
      </c>
      <c r="I374" t="s">
        <v>23</v>
      </c>
      <c r="J374">
        <v>13.0158</v>
      </c>
      <c r="K374">
        <v>77.539000000000001</v>
      </c>
      <c r="L374">
        <v>560096</v>
      </c>
      <c r="M374" t="s">
        <v>19</v>
      </c>
      <c r="N374" t="s">
        <v>20</v>
      </c>
      <c r="O374" t="str">
        <f t="shared" si="11"/>
        <v>Loyal Customer</v>
      </c>
    </row>
    <row r="375" spans="1:15" x14ac:dyDescent="0.25">
      <c r="A375">
        <v>30</v>
      </c>
      <c r="B375" t="str">
        <f t="shared" si="10"/>
        <v>30-33</v>
      </c>
      <c r="C375" t="s">
        <v>24</v>
      </c>
      <c r="D375" t="s">
        <v>26</v>
      </c>
      <c r="E375" t="s">
        <v>29</v>
      </c>
      <c r="F375" t="s">
        <v>28</v>
      </c>
      <c r="G375" t="s">
        <v>22</v>
      </c>
      <c r="H375">
        <v>1</v>
      </c>
      <c r="I375" t="s">
        <v>32</v>
      </c>
      <c r="J375">
        <v>13.0809</v>
      </c>
      <c r="K375">
        <v>77.5565</v>
      </c>
      <c r="L375">
        <v>560097</v>
      </c>
      <c r="M375" t="s">
        <v>34</v>
      </c>
      <c r="N375" t="s">
        <v>25</v>
      </c>
      <c r="O375" t="str">
        <f t="shared" si="11"/>
        <v>Churned &amp; Unhappy</v>
      </c>
    </row>
    <row r="376" spans="1:15" x14ac:dyDescent="0.25">
      <c r="A376">
        <v>21</v>
      </c>
      <c r="B376" t="str">
        <f t="shared" si="10"/>
        <v>18-24</v>
      </c>
      <c r="C376" t="s">
        <v>24</v>
      </c>
      <c r="D376" t="s">
        <v>14</v>
      </c>
      <c r="E376" t="s">
        <v>15</v>
      </c>
      <c r="F376" t="s">
        <v>16</v>
      </c>
      <c r="G376" t="s">
        <v>22</v>
      </c>
      <c r="H376">
        <v>3</v>
      </c>
      <c r="I376" t="s">
        <v>23</v>
      </c>
      <c r="J376">
        <v>13.0641</v>
      </c>
      <c r="K376">
        <v>77.593100000000007</v>
      </c>
      <c r="L376">
        <v>560092</v>
      </c>
      <c r="M376" t="s">
        <v>19</v>
      </c>
      <c r="N376" t="s">
        <v>25</v>
      </c>
      <c r="O376" t="str">
        <f t="shared" si="11"/>
        <v>Churned &amp; Unhappy</v>
      </c>
    </row>
    <row r="377" spans="1:15" x14ac:dyDescent="0.25">
      <c r="A377">
        <v>26</v>
      </c>
      <c r="B377" t="str">
        <f t="shared" si="10"/>
        <v>25-29</v>
      </c>
      <c r="C377" t="s">
        <v>13</v>
      </c>
      <c r="D377" t="s">
        <v>26</v>
      </c>
      <c r="E377" t="s">
        <v>27</v>
      </c>
      <c r="F377" t="s">
        <v>21</v>
      </c>
      <c r="G377" t="s">
        <v>22</v>
      </c>
      <c r="H377">
        <v>6</v>
      </c>
      <c r="I377" t="s">
        <v>18</v>
      </c>
      <c r="J377">
        <v>12.985900000000001</v>
      </c>
      <c r="K377">
        <v>77.671300000000002</v>
      </c>
      <c r="L377">
        <v>560093</v>
      </c>
      <c r="M377" t="s">
        <v>34</v>
      </c>
      <c r="N377" t="s">
        <v>25</v>
      </c>
      <c r="O377" t="str">
        <f t="shared" si="11"/>
        <v>Churned &amp; Unhappy</v>
      </c>
    </row>
    <row r="378" spans="1:15" x14ac:dyDescent="0.25">
      <c r="A378">
        <v>25</v>
      </c>
      <c r="B378" t="str">
        <f t="shared" si="10"/>
        <v>25-29</v>
      </c>
      <c r="C378" t="s">
        <v>24</v>
      </c>
      <c r="D378" t="s">
        <v>14</v>
      </c>
      <c r="E378" t="s">
        <v>29</v>
      </c>
      <c r="F378" t="s">
        <v>28</v>
      </c>
      <c r="G378" t="s">
        <v>38</v>
      </c>
      <c r="H378">
        <v>3</v>
      </c>
      <c r="I378" t="s">
        <v>23</v>
      </c>
      <c r="J378">
        <v>12.985900000000001</v>
      </c>
      <c r="K378">
        <v>77.671300000000002</v>
      </c>
      <c r="L378">
        <v>560093</v>
      </c>
      <c r="M378" t="s">
        <v>19</v>
      </c>
      <c r="N378" t="s">
        <v>20</v>
      </c>
      <c r="O378" t="str">
        <f t="shared" si="11"/>
        <v>Loyal Customer</v>
      </c>
    </row>
    <row r="379" spans="1:15" x14ac:dyDescent="0.25">
      <c r="A379">
        <v>31</v>
      </c>
      <c r="B379" t="str">
        <f t="shared" si="10"/>
        <v>30-33</v>
      </c>
      <c r="C379" t="s">
        <v>24</v>
      </c>
      <c r="D379" t="s">
        <v>35</v>
      </c>
      <c r="E379" t="s">
        <v>27</v>
      </c>
      <c r="F379" t="s">
        <v>21</v>
      </c>
      <c r="G379" t="s">
        <v>22</v>
      </c>
      <c r="H379">
        <v>1</v>
      </c>
      <c r="I379" t="s">
        <v>32</v>
      </c>
      <c r="J379">
        <v>12.986599999999999</v>
      </c>
      <c r="K379">
        <v>77.490399999999994</v>
      </c>
      <c r="L379">
        <v>560091</v>
      </c>
      <c r="M379" t="s">
        <v>34</v>
      </c>
      <c r="N379" t="s">
        <v>25</v>
      </c>
      <c r="O379" t="str">
        <f t="shared" si="11"/>
        <v>Churned &amp; Unhappy</v>
      </c>
    </row>
    <row r="380" spans="1:15" x14ac:dyDescent="0.25">
      <c r="A380">
        <v>23</v>
      </c>
      <c r="B380" t="str">
        <f t="shared" si="10"/>
        <v>18-24</v>
      </c>
      <c r="C380" t="s">
        <v>13</v>
      </c>
      <c r="D380" t="s">
        <v>14</v>
      </c>
      <c r="E380" t="s">
        <v>27</v>
      </c>
      <c r="F380" t="s">
        <v>31</v>
      </c>
      <c r="G380" t="s">
        <v>17</v>
      </c>
      <c r="H380">
        <v>2</v>
      </c>
      <c r="I380" t="s">
        <v>23</v>
      </c>
      <c r="J380">
        <v>12.9847</v>
      </c>
      <c r="K380">
        <v>77.549099999999996</v>
      </c>
      <c r="L380">
        <v>560100</v>
      </c>
      <c r="M380" t="s">
        <v>19</v>
      </c>
      <c r="N380" t="s">
        <v>20</v>
      </c>
      <c r="O380" t="str">
        <f t="shared" si="11"/>
        <v>Loyal Customer</v>
      </c>
    </row>
    <row r="381" spans="1:15" x14ac:dyDescent="0.25">
      <c r="A381">
        <v>22</v>
      </c>
      <c r="B381" t="str">
        <f t="shared" si="10"/>
        <v>18-24</v>
      </c>
      <c r="C381" t="s">
        <v>24</v>
      </c>
      <c r="D381" t="s">
        <v>14</v>
      </c>
      <c r="E381" t="s">
        <v>15</v>
      </c>
      <c r="F381" t="s">
        <v>21</v>
      </c>
      <c r="G381" t="s">
        <v>17</v>
      </c>
      <c r="H381">
        <v>4</v>
      </c>
      <c r="I381" t="s">
        <v>18</v>
      </c>
      <c r="J381">
        <v>12.984999999999999</v>
      </c>
      <c r="K381">
        <v>77.553299999999993</v>
      </c>
      <c r="L381">
        <v>560010</v>
      </c>
      <c r="M381" t="s">
        <v>19</v>
      </c>
      <c r="N381" t="s">
        <v>20</v>
      </c>
      <c r="O381" t="str">
        <f t="shared" si="11"/>
        <v>Loyal Customer</v>
      </c>
    </row>
    <row r="382" spans="1:15" x14ac:dyDescent="0.25">
      <c r="A382">
        <v>27</v>
      </c>
      <c r="B382" t="str">
        <f t="shared" si="10"/>
        <v>25-29</v>
      </c>
      <c r="C382" t="s">
        <v>13</v>
      </c>
      <c r="D382" t="s">
        <v>26</v>
      </c>
      <c r="E382" t="s">
        <v>27</v>
      </c>
      <c r="F382" t="s">
        <v>28</v>
      </c>
      <c r="G382" t="s">
        <v>17</v>
      </c>
      <c r="H382">
        <v>2</v>
      </c>
      <c r="I382" t="s">
        <v>23</v>
      </c>
      <c r="J382">
        <v>12.9299</v>
      </c>
      <c r="K382">
        <v>77.684799999999996</v>
      </c>
      <c r="L382">
        <v>560103</v>
      </c>
      <c r="M382" t="s">
        <v>19</v>
      </c>
      <c r="N382" t="s">
        <v>20</v>
      </c>
      <c r="O382" t="str">
        <f t="shared" si="11"/>
        <v>Loyal Customer</v>
      </c>
    </row>
    <row r="383" spans="1:15" x14ac:dyDescent="0.25">
      <c r="A383">
        <v>22</v>
      </c>
      <c r="B383" t="str">
        <f t="shared" si="10"/>
        <v>18-24</v>
      </c>
      <c r="C383" t="s">
        <v>24</v>
      </c>
      <c r="D383" t="s">
        <v>14</v>
      </c>
      <c r="E383" t="s">
        <v>15</v>
      </c>
      <c r="F383" t="s">
        <v>16</v>
      </c>
      <c r="G383" t="s">
        <v>22</v>
      </c>
      <c r="H383">
        <v>3</v>
      </c>
      <c r="I383" t="s">
        <v>23</v>
      </c>
      <c r="J383">
        <v>12.977</v>
      </c>
      <c r="K383">
        <v>77.577299999999994</v>
      </c>
      <c r="L383">
        <v>560009</v>
      </c>
      <c r="M383" t="s">
        <v>19</v>
      </c>
      <c r="N383" t="s">
        <v>20</v>
      </c>
      <c r="O383" t="str">
        <f t="shared" si="11"/>
        <v>Loyal Customer</v>
      </c>
    </row>
    <row r="384" spans="1:15" x14ac:dyDescent="0.25">
      <c r="A384">
        <v>24</v>
      </c>
      <c r="B384" t="str">
        <f t="shared" si="10"/>
        <v>18-24</v>
      </c>
      <c r="C384" t="s">
        <v>13</v>
      </c>
      <c r="D384" t="s">
        <v>14</v>
      </c>
      <c r="E384" t="s">
        <v>15</v>
      </c>
      <c r="F384" t="s">
        <v>16</v>
      </c>
      <c r="G384" t="s">
        <v>17</v>
      </c>
      <c r="H384">
        <v>3</v>
      </c>
      <c r="I384" t="s">
        <v>23</v>
      </c>
      <c r="J384">
        <v>12.982799999999999</v>
      </c>
      <c r="K384">
        <v>77.613100000000003</v>
      </c>
      <c r="L384">
        <v>560042</v>
      </c>
      <c r="M384" t="s">
        <v>19</v>
      </c>
      <c r="N384" t="s">
        <v>20</v>
      </c>
      <c r="O384" t="str">
        <f t="shared" si="11"/>
        <v>Loyal Customer</v>
      </c>
    </row>
    <row r="385" spans="1:15" x14ac:dyDescent="0.25">
      <c r="A385">
        <v>23</v>
      </c>
      <c r="B385" t="str">
        <f t="shared" si="10"/>
        <v>18-24</v>
      </c>
      <c r="C385" t="s">
        <v>13</v>
      </c>
      <c r="D385" t="s">
        <v>14</v>
      </c>
      <c r="E385" t="s">
        <v>15</v>
      </c>
      <c r="F385" t="s">
        <v>16</v>
      </c>
      <c r="G385" t="s">
        <v>17</v>
      </c>
      <c r="H385">
        <v>2</v>
      </c>
      <c r="I385" t="s">
        <v>23</v>
      </c>
      <c r="J385">
        <v>12.976599999999999</v>
      </c>
      <c r="K385">
        <v>77.599299999999999</v>
      </c>
      <c r="L385">
        <v>560001</v>
      </c>
      <c r="M385" t="s">
        <v>19</v>
      </c>
      <c r="N385" t="s">
        <v>20</v>
      </c>
      <c r="O385" t="str">
        <f t="shared" si="11"/>
        <v>Loyal Customer</v>
      </c>
    </row>
    <row r="386" spans="1:15" x14ac:dyDescent="0.25">
      <c r="A386">
        <v>23</v>
      </c>
      <c r="B386" t="str">
        <f t="shared" si="10"/>
        <v>18-24</v>
      </c>
      <c r="C386" t="s">
        <v>13</v>
      </c>
      <c r="D386" t="s">
        <v>14</v>
      </c>
      <c r="E386" t="s">
        <v>15</v>
      </c>
      <c r="F386" t="s">
        <v>16</v>
      </c>
      <c r="G386" t="s">
        <v>17</v>
      </c>
      <c r="H386">
        <v>4</v>
      </c>
      <c r="I386" t="s">
        <v>18</v>
      </c>
      <c r="J386">
        <v>12.9854</v>
      </c>
      <c r="K386">
        <v>77.708100000000002</v>
      </c>
      <c r="L386">
        <v>560048</v>
      </c>
      <c r="M386" t="s">
        <v>19</v>
      </c>
      <c r="N386" t="s">
        <v>20</v>
      </c>
      <c r="O386" t="str">
        <f t="shared" si="11"/>
        <v>Loyal Customer</v>
      </c>
    </row>
    <row r="387" spans="1:15" x14ac:dyDescent="0.25">
      <c r="A387">
        <v>22</v>
      </c>
      <c r="B387" t="str">
        <f>IF(A387&lt;18, "Under 18", IF(A387&lt;=24, "18-24", IF(A387&lt;=29, "25-29", IF(A387&lt;=33, "30-33", "34+"))))</f>
        <v>18-24</v>
      </c>
      <c r="C387" t="s">
        <v>13</v>
      </c>
      <c r="D387" t="s">
        <v>14</v>
      </c>
      <c r="E387" t="s">
        <v>15</v>
      </c>
      <c r="F387" t="s">
        <v>16</v>
      </c>
      <c r="G387" t="s">
        <v>17</v>
      </c>
      <c r="H387">
        <v>5</v>
      </c>
      <c r="I387" t="s">
        <v>18</v>
      </c>
      <c r="J387">
        <v>12.984999999999999</v>
      </c>
      <c r="K387">
        <v>77.553299999999993</v>
      </c>
      <c r="L387">
        <v>560010</v>
      </c>
      <c r="M387" t="s">
        <v>19</v>
      </c>
      <c r="N387" t="s">
        <v>20</v>
      </c>
      <c r="O387" t="str">
        <f>IF(AND(M387="Yes",N387="Positive"),"Loyal Customer",
 IF(AND(M387="Yes",N387="Negative"),"At Risk",
 IF(AND(M387="No",N387="Positive"),"Lost Potential","Churned &amp; Unhappy")))</f>
        <v>Loyal Customer</v>
      </c>
    </row>
    <row r="388" spans="1:15" x14ac:dyDescent="0.25">
      <c r="A388">
        <v>23</v>
      </c>
      <c r="B388" t="str">
        <f>IF(A388&lt;18, "Under 18", IF(A388&lt;=24, "18-24", IF(A388&lt;=29, "25-29", IF(A388&lt;=33, "30-33", "34+"))))</f>
        <v>18-24</v>
      </c>
      <c r="C388" t="s">
        <v>24</v>
      </c>
      <c r="D388" t="s">
        <v>14</v>
      </c>
      <c r="E388" t="s">
        <v>15</v>
      </c>
      <c r="F388" t="s">
        <v>21</v>
      </c>
      <c r="G388" t="s">
        <v>17</v>
      </c>
      <c r="H388">
        <v>2</v>
      </c>
      <c r="I388" t="s">
        <v>23</v>
      </c>
      <c r="J388">
        <v>12.977</v>
      </c>
      <c r="K388">
        <v>77.577299999999994</v>
      </c>
      <c r="L388">
        <v>560009</v>
      </c>
      <c r="M388" t="s">
        <v>19</v>
      </c>
      <c r="N388" t="s">
        <v>20</v>
      </c>
      <c r="O388" t="str">
        <f>IF(AND(M388="Yes",N388="Positive"),"Loyal Customer",
 IF(AND(M388="Yes",N388="Negative"),"At Risk",
 IF(AND(M388="No",N388="Positive"),"Lost Potential","Churned &amp; Unhappy")))</f>
        <v>Loyal Customer</v>
      </c>
    </row>
    <row r="389" spans="1:15" x14ac:dyDescent="0.25">
      <c r="A389">
        <v>23</v>
      </c>
      <c r="B389" t="str">
        <f>IF(A389&lt;18, "Under 18", IF(A389&lt;=24, "18-24", IF(A389&lt;=29, "25-29", IF(A389&lt;=33, "30-33", "34+"))))</f>
        <v>18-24</v>
      </c>
      <c r="C389" t="s">
        <v>24</v>
      </c>
      <c r="D389" t="s">
        <v>14</v>
      </c>
      <c r="E389" t="s">
        <v>15</v>
      </c>
      <c r="F389" t="s">
        <v>16</v>
      </c>
      <c r="G389" t="s">
        <v>17</v>
      </c>
      <c r="H389">
        <v>5</v>
      </c>
      <c r="I389" t="s">
        <v>18</v>
      </c>
      <c r="J389">
        <v>12.8988</v>
      </c>
      <c r="K389">
        <v>77.576400000000007</v>
      </c>
      <c r="L389">
        <v>560078</v>
      </c>
      <c r="M389" t="s">
        <v>19</v>
      </c>
      <c r="N389" t="s">
        <v>20</v>
      </c>
      <c r="O389" t="str">
        <f>IF(AND(M389="Yes",N389="Positive"),"Loyal Customer",
 IF(AND(M389="Yes",N389="Negative"),"At Risk",
 IF(AND(M389="No",N389="Positive"),"Lost Potential","Churned &amp; Unhappy")))</f>
        <v>Loyal Customer</v>
      </c>
    </row>
  </sheetData>
  <pageMargins left="0.7" right="0.7" top="0.75" bottom="0.75" header="0.3" footer="0.3"/>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showGridLines="0" tabSelected="1" zoomScale="97" zoomScaleNormal="100" workbookViewId="0">
      <selection activeCell="P25" sqref="P25"/>
    </sheetView>
  </sheetViews>
  <sheetFormatPr defaultRowHeight="15" x14ac:dyDescent="0.25"/>
  <cols>
    <col min="1" max="16384" width="9" style="5"/>
  </cols>
  <sheetData>
    <row r="1" spans="1:17" ht="15.75" x14ac:dyDescent="0.25">
      <c r="A1" s="10" t="s">
        <v>55</v>
      </c>
      <c r="B1" s="10"/>
      <c r="C1" s="10"/>
      <c r="D1" s="10"/>
      <c r="E1" s="10"/>
      <c r="F1" s="10"/>
      <c r="G1" s="10"/>
      <c r="H1" s="10"/>
      <c r="I1" s="10"/>
      <c r="J1" s="10"/>
      <c r="K1" s="10"/>
      <c r="L1" s="10"/>
      <c r="M1" s="10"/>
      <c r="N1" s="10"/>
      <c r="O1" s="10"/>
      <c r="P1" s="9"/>
      <c r="Q1" s="9"/>
    </row>
    <row r="15" spans="1:17" x14ac:dyDescent="0.25">
      <c r="A15" s="6"/>
    </row>
  </sheetData>
  <mergeCells count="1">
    <mergeCell ref="A1:O1"/>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Segment mix by Occupation</vt:lpstr>
      <vt:lpstr>Output by Income bracket</vt:lpstr>
      <vt:lpstr>Output by Age Group</vt:lpstr>
      <vt:lpstr>Feedback by Gender</vt:lpstr>
      <vt:lpstr>Feedback by Customer Type</vt:lpstr>
      <vt:lpstr>Feedback by Education</vt:lpstr>
      <vt:lpstr>Avg Family Size by Occupation</vt:lpstr>
      <vt:lpstr>Overall Output split</vt:lpstr>
      <vt:lpstr>online food delivery dataset</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walela philip</dc:creator>
  <cp:lastModifiedBy>Walela</cp:lastModifiedBy>
  <dcterms:created xsi:type="dcterms:W3CDTF">2026-09-11T12:22:58Z</dcterms:created>
  <dcterms:modified xsi:type="dcterms:W3CDTF">2026-10-06T10:15:56Z</dcterms:modified>
</cp:coreProperties>
</file>